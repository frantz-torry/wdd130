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frantz-torrythermidor/Documents/BYU October /WDD130/wdd130/images/"/>
    </mc:Choice>
  </mc:AlternateContent>
  <xr:revisionPtr revIDLastSave="0" documentId="8_{2879625A-8F63-184A-B5A9-53A64EF193AA}" xr6:coauthVersionLast="47" xr6:coauthVersionMax="47" xr10:uidLastSave="{00000000-0000-0000-0000-000000000000}"/>
  <bookViews>
    <workbookView xWindow="0" yWindow="740" windowWidth="29400" windowHeight="18380" xr2:uid="{E1398577-835C-5A41-B3C0-62FB9FFC5824}"/>
  </bookViews>
  <sheets>
    <sheet name="Revenue Analysis" sheetId="1" r:id="rId1"/>
    <sheet name="Revenue" sheetId="2" r:id="rId2"/>
    <sheet name="Expenses" sheetId="3" r:id="rId3"/>
    <sheet name="Sales Data" sheetId="4" r:id="rId4"/>
    <sheet name="Summary" sheetId="5" r:id="rId5"/>
    <sheet name="Analysis Questions" sheetId="6" r:id="rId6"/>
  </sheets>
  <definedNames>
    <definedName name="AnnualExpenses">Summary!$F$3</definedName>
    <definedName name="AnnualProfit">Summary!$F$4</definedName>
    <definedName name="AnnualRevenue">Summary!$F$2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4" l="1"/>
  <c r="D17" i="4"/>
  <c r="C17" i="4"/>
  <c r="B17" i="4"/>
  <c r="F7" i="5"/>
  <c r="B7" i="5"/>
  <c r="C7" i="5"/>
  <c r="D7" i="5"/>
  <c r="E7" i="5"/>
  <c r="F4" i="5"/>
  <c r="F3" i="5"/>
  <c r="F2" i="5"/>
  <c r="C4" i="5"/>
  <c r="D4" i="5"/>
  <c r="E4" i="5"/>
  <c r="B4" i="5"/>
  <c r="E3" i="5"/>
  <c r="D3" i="5"/>
  <c r="C3" i="5"/>
  <c r="B3" i="5"/>
  <c r="E2" i="5"/>
  <c r="D2" i="5"/>
  <c r="B2" i="5"/>
  <c r="C2" i="5"/>
  <c r="K3" i="1"/>
  <c r="K4" i="1"/>
  <c r="K5" i="1"/>
  <c r="K6" i="1"/>
  <c r="K7" i="1"/>
  <c r="K8" i="1"/>
  <c r="K9" i="1"/>
  <c r="K10" i="1"/>
  <c r="K11" i="1"/>
  <c r="K12" i="1"/>
  <c r="K13" i="1"/>
  <c r="K14" i="1"/>
  <c r="K15" i="1"/>
  <c r="K16" i="1"/>
  <c r="K17" i="1"/>
  <c r="K18" i="1"/>
  <c r="K19" i="1"/>
  <c r="K20" i="1"/>
  <c r="K21" i="1"/>
  <c r="K22" i="1"/>
  <c r="K23" i="1"/>
  <c r="K2" i="1"/>
  <c r="J3" i="1"/>
  <c r="J4" i="1"/>
  <c r="J5" i="1"/>
  <c r="J6" i="1"/>
  <c r="J7" i="1"/>
  <c r="J8" i="1"/>
  <c r="J9" i="1"/>
  <c r="J10" i="1"/>
  <c r="J11" i="1"/>
  <c r="J12" i="1"/>
  <c r="J13" i="1"/>
  <c r="J14" i="1"/>
  <c r="J15" i="1"/>
  <c r="J16" i="1"/>
  <c r="J17" i="1"/>
  <c r="J18" i="1"/>
  <c r="J19" i="1"/>
  <c r="J20" i="1"/>
  <c r="J21" i="1"/>
  <c r="J22" i="1"/>
  <c r="J23" i="1"/>
  <c r="J2" i="1"/>
  <c r="I3" i="1"/>
  <c r="I4" i="1"/>
  <c r="I5" i="1"/>
  <c r="I6" i="1"/>
  <c r="I7" i="1"/>
  <c r="I8" i="1"/>
  <c r="I9" i="1"/>
  <c r="I10" i="1"/>
  <c r="I11" i="1"/>
  <c r="I12" i="1"/>
  <c r="I13" i="1"/>
  <c r="I14" i="1"/>
  <c r="I15" i="1"/>
  <c r="I16" i="1"/>
  <c r="I17" i="1"/>
  <c r="I18" i="1"/>
  <c r="I19" i="1"/>
  <c r="I20" i="1"/>
  <c r="I21" i="1"/>
  <c r="I22" i="1"/>
  <c r="I23" i="1"/>
  <c r="I2" i="1"/>
  <c r="H3" i="1"/>
  <c r="H4" i="1"/>
  <c r="H5" i="1"/>
  <c r="H6" i="1"/>
  <c r="H7" i="1"/>
  <c r="H8" i="1"/>
  <c r="H9" i="1"/>
  <c r="H10" i="1"/>
  <c r="H11" i="1"/>
  <c r="H12" i="1"/>
  <c r="H13" i="1"/>
  <c r="H14" i="1"/>
  <c r="H15" i="1"/>
  <c r="H16" i="1"/>
  <c r="H17" i="1"/>
  <c r="H18" i="1"/>
  <c r="H19" i="1"/>
  <c r="H20" i="1"/>
  <c r="H21" i="1"/>
  <c r="H22" i="1"/>
  <c r="H23" i="1"/>
  <c r="H2" i="1"/>
  <c r="G3" i="1"/>
  <c r="G4" i="1"/>
  <c r="G5" i="1"/>
  <c r="G6" i="1"/>
  <c r="G7" i="1"/>
  <c r="G8" i="1"/>
  <c r="G9" i="1"/>
  <c r="G10" i="1"/>
  <c r="G11" i="1"/>
  <c r="G12" i="1"/>
  <c r="G13" i="1"/>
  <c r="G14" i="1"/>
  <c r="G15" i="1"/>
  <c r="G16" i="1"/>
  <c r="G17" i="1"/>
  <c r="G18" i="1"/>
  <c r="G19" i="1"/>
  <c r="G20" i="1"/>
  <c r="G21" i="1"/>
  <c r="G22" i="1"/>
  <c r="G23" i="1"/>
  <c r="G2" i="1"/>
</calcChain>
</file>

<file path=xl/sharedStrings.xml><?xml version="1.0" encoding="utf-8"?>
<sst xmlns="http://schemas.openxmlformats.org/spreadsheetml/2006/main" count="206" uniqueCount="98">
  <si>
    <t>Customer Type</t>
  </si>
  <si>
    <t>Customer Name</t>
  </si>
  <si>
    <t>Order Amount</t>
  </si>
  <si>
    <t>Product Category</t>
  </si>
  <si>
    <t>Quarter</t>
  </si>
  <si>
    <t>Region</t>
  </si>
  <si>
    <t>Discount Amount</t>
  </si>
  <si>
    <t>Final Order Amount</t>
  </si>
  <si>
    <t>Shipping Charge</t>
  </si>
  <si>
    <t>Premium</t>
  </si>
  <si>
    <t>Acme Industries</t>
  </si>
  <si>
    <t>Cloud Security</t>
  </si>
  <si>
    <t>Q1</t>
  </si>
  <si>
    <t>North America</t>
  </si>
  <si>
    <t>Standard</t>
  </si>
  <si>
    <t>Blue Ridge Co</t>
  </si>
  <si>
    <t>Mobile Platform</t>
  </si>
  <si>
    <t>Latin America</t>
  </si>
  <si>
    <t>Crestview Ltd</t>
  </si>
  <si>
    <t>AI Analytics</t>
  </si>
  <si>
    <t>Europe</t>
  </si>
  <si>
    <t>Delta Systems</t>
  </si>
  <si>
    <t>Q2</t>
  </si>
  <si>
    <t>Asia Pacific</t>
  </si>
  <si>
    <t>Eastgate Corp</t>
  </si>
  <si>
    <t>Falcon Group</t>
  </si>
  <si>
    <t>Global Tech</t>
  </si>
  <si>
    <t>Q3</t>
  </si>
  <si>
    <t>Harbor View</t>
  </si>
  <si>
    <t>Ironside Inc</t>
  </si>
  <si>
    <t>Jetstream Co</t>
  </si>
  <si>
    <t>Q4</t>
  </si>
  <si>
    <t>Keystone Ltd</t>
  </si>
  <si>
    <t>Lakeside Corp</t>
  </si>
  <si>
    <t>Meridian Group</t>
  </si>
  <si>
    <t>Northgate Inc</t>
  </si>
  <si>
    <t>Oceanview Co</t>
  </si>
  <si>
    <t>Pinnacle Ltd</t>
  </si>
  <si>
    <t>Quantum Corp</t>
  </si>
  <si>
    <t>Redwood Group</t>
  </si>
  <si>
    <t>Silverline Inc</t>
  </si>
  <si>
    <t>Topaz Systems</t>
  </si>
  <si>
    <t>Unity Corp</t>
  </si>
  <si>
    <t>Vertex Ltd</t>
  </si>
  <si>
    <t>Month</t>
  </si>
  <si>
    <t>Integration Suite</t>
  </si>
  <si>
    <t>Customer Portal</t>
  </si>
  <si>
    <t>Total Revenue</t>
  </si>
  <si>
    <t>January</t>
  </si>
  <si>
    <t>February</t>
  </si>
  <si>
    <t>March</t>
  </si>
  <si>
    <t>Q1 Total</t>
  </si>
  <si>
    <t>April</t>
  </si>
  <si>
    <t>May</t>
  </si>
  <si>
    <t>June</t>
  </si>
  <si>
    <t>Q2 Total</t>
  </si>
  <si>
    <t>July</t>
  </si>
  <si>
    <t>August</t>
  </si>
  <si>
    <t>September</t>
  </si>
  <si>
    <t>Q3 Total</t>
  </si>
  <si>
    <t>October</t>
  </si>
  <si>
    <t>November</t>
  </si>
  <si>
    <t>December</t>
  </si>
  <si>
    <t>Q4 Total</t>
  </si>
  <si>
    <t>Staff and Salaries</t>
  </si>
  <si>
    <t>Technology</t>
  </si>
  <si>
    <t>Marketing</t>
  </si>
  <si>
    <t>Operations</t>
  </si>
  <si>
    <t>Support</t>
  </si>
  <si>
    <t>Total Expenses</t>
  </si>
  <si>
    <t>Product</t>
  </si>
  <si>
    <t>Units Sold</t>
  </si>
  <si>
    <t>Unit Price</t>
  </si>
  <si>
    <t>Revenue</t>
  </si>
  <si>
    <t>Profit</t>
  </si>
  <si>
    <t>Cloud Security Pro</t>
  </si>
  <si>
    <t>Mobile Platform Plus</t>
  </si>
  <si>
    <t>AI Analytics Basic</t>
  </si>
  <si>
    <t>Integration Suite Pro</t>
  </si>
  <si>
    <t>Customer Portal Plus</t>
  </si>
  <si>
    <t>Cloud Security Lite</t>
  </si>
  <si>
    <t>Mobile Platform Basic</t>
  </si>
  <si>
    <t>AI Analytics Pro</t>
  </si>
  <si>
    <t>Integration Suite Basic</t>
  </si>
  <si>
    <t>Customer Portal Basic</t>
  </si>
  <si>
    <t>Category</t>
  </si>
  <si>
    <t>Annual Total</t>
  </si>
  <si>
    <t>Expenses</t>
  </si>
  <si>
    <t>Analysis Questions</t>
  </si>
  <si>
    <t>Answer each question in 2 to 4 sentences. Use specific values from this workbook to support your answer. </t>
  </si>
  <si>
    <r>
      <rPr>
        <b/>
        <sz val="12"/>
        <color theme="1"/>
        <rFont val="Aptos Narrow"/>
        <family val="2"/>
        <scheme val="minor"/>
      </rPr>
      <t>Question 1:</t>
    </r>
    <r>
      <rPr>
        <sz val="12"/>
        <color theme="1"/>
        <rFont val="Aptos Narrow"/>
        <family val="2"/>
        <scheme val="minor"/>
      </rPr>
      <t xml:space="preserve"> IF Function Analysis (Task 1): Look at the discount amounts across all 22 orders. Do Premium customers always pay less after discount than Standard customers? Use 2 specific examples from your data to support your answer. What does this tell you about how discount rates interact with order size? </t>
    </r>
  </si>
  <si>
    <t>Add your response here</t>
  </si>
  <si>
    <r>
      <rPr>
        <b/>
        <sz val="12"/>
        <color theme="1"/>
        <rFont val="Aptos Narrow"/>
        <family val="2"/>
        <scheme val="minor"/>
      </rPr>
      <t>Question 3:</t>
    </r>
    <r>
      <rPr>
        <sz val="12"/>
        <color theme="1"/>
        <rFont val="Aptos Narrow"/>
        <family val="2"/>
        <scheme val="minor"/>
      </rPr>
      <t xml:space="preserve"> Synthesis: Based on your IF function analysis, summary report, and sales data, write a short summary of Global Connect Solutions’ financial position. Identify one strength and one area of concern. Use at least 2 specific numbers from your workbook to support each point. </t>
    </r>
  </si>
  <si>
    <r>
      <rPr>
        <b/>
        <sz val="12"/>
        <color theme="1"/>
        <rFont val="Aptos Narrow"/>
        <family val="2"/>
        <scheme val="minor"/>
      </rPr>
      <t xml:space="preserve">Question 2: </t>
    </r>
    <r>
      <rPr>
        <sz val="12"/>
        <color theme="1"/>
        <rFont val="Aptos Narrow"/>
        <family val="2"/>
        <scheme val="minor"/>
      </rPr>
      <t xml:space="preserve">Summary Report Analysis (Task 2): Look at the quarterly profit margins in row 7 of your Summary worksheet. Describe the trend you see across Q1 through Q4. Does Global Connect Solutions appear to be improving its profitability over the year? Use specific values to support your conclusion. </t>
    </r>
  </si>
  <si>
    <t>Discount Rate</t>
  </si>
  <si>
    <t>Final Total</t>
  </si>
  <si>
    <t>Profit Margin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</si>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</sst>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9" x14ac:knownFonts="1">
    <font>
      <sz val="12"/>
      <color theme="1"/>
      <name val="Aptos Narrow"/>
      <family val="2"/>
      <scheme val="minor"/>
    </font>
    <font>
      <b/>
      <sz val="18"/>
      <color theme="3" tint="0.249977111117893"/>
      <name val="Aptos Narrow"/>
      <family val="2"/>
      <scheme val="minor"/>
    </font>
    <font>
      <i/>
      <sz val="12"/>
      <color theme="3" tint="0.249977111117893"/>
      <name val="Aptos Narrow"/>
      <family val="2"/>
      <scheme val="minor"/>
    </font>
    <font>
      <b/>
      <sz val="12"/>
      <color theme="1"/>
      <name val="Aptos Narrow"/>
      <family val="2"/>
      <scheme val="minor"/>
    </font>
    <font>
      <sz val="12"/>
      <color theme="1"/>
      <name val="Aptos Narrow"/>
      <family val="2"/>
      <scheme val="minor"/>
    </font>
    <font>
      <sz val="12"/>
      <color theme="0"/>
      <name val="Aptos Narrow"/>
      <family val="2"/>
      <scheme val="minor"/>
    </font>
    <font>
      <i/>
      <sz val="18"/>
      <color rgb="FF212529"/>
      <name val="Arial"/>
      <family val="2"/>
    </font>
    <font>
      <b/>
      <sz val="12"/>
      <color theme="1"/>
      <name val="Aptos Narrow"/>
      <scheme val="minor"/>
    </font>
    <font>
      <b/>
      <sz val="12"/>
      <color theme="0"/>
      <name val="Aptos Narrow"/>
      <scheme val="minor"/>
    </font>
  </fonts>
  <fills count="4">
    <fill>
      <patternFill patternType="none"/>
    </fill>
    <fill>
      <patternFill patternType="gray125"/>
    </fill>
    <fill>
      <patternFill patternType="solid">
        <fgColor theme="3" tint="9.9978637043366805E-2"/>
        <bgColor indexed="64"/>
      </patternFill>
    </fill>
    <fill>
      <patternFill patternType="solid">
        <fgColor theme="4" tint="-0.249977111117893"/>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48">
    <xf numFmtId="0" fontId="0" fillId="0" borderId="0" xfId="0"/>
    <xf numFmtId="164" fontId="0" fillId="0" borderId="0" xfId="0" applyNumberFormat="1"/>
    <xf numFmtId="0" fontId="1" fillId="0" borderId="0" xfId="0" applyFont="1"/>
    <xf numFmtId="0" fontId="2" fillId="0" borderId="1"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Alignment="1">
      <alignment horizontal="left" wrapText="1"/>
    </xf>
    <xf numFmtId="0" fontId="0" fillId="0" borderId="9" xfId="0" applyBorder="1"/>
    <xf numFmtId="164" fontId="0" fillId="0" borderId="9" xfId="0" applyNumberFormat="1" applyBorder="1"/>
    <xf numFmtId="0" fontId="0" fillId="0" borderId="10" xfId="0" applyBorder="1"/>
    <xf numFmtId="0" fontId="0" fillId="0" borderId="13" xfId="0" applyBorder="1"/>
    <xf numFmtId="164" fontId="0" fillId="0" borderId="14" xfId="0" applyNumberFormat="1" applyBorder="1"/>
    <xf numFmtId="0" fontId="0" fillId="0" borderId="15" xfId="0" applyBorder="1"/>
    <xf numFmtId="0" fontId="0" fillId="0" borderId="16" xfId="0" applyBorder="1"/>
    <xf numFmtId="164" fontId="0" fillId="0" borderId="16" xfId="0" applyNumberFormat="1" applyBorder="1"/>
    <xf numFmtId="164" fontId="0" fillId="0" borderId="17" xfId="0" applyNumberFormat="1" applyBorder="1"/>
    <xf numFmtId="9" fontId="6" fillId="0" borderId="9" xfId="2" applyFont="1" applyBorder="1"/>
    <xf numFmtId="9" fontId="6" fillId="0" borderId="16" xfId="2" applyFont="1" applyBorder="1"/>
    <xf numFmtId="164" fontId="0" fillId="0" borderId="9" xfId="1" applyNumberFormat="1" applyFont="1" applyBorder="1"/>
    <xf numFmtId="0" fontId="7" fillId="0" borderId="18" xfId="0" applyFont="1" applyBorder="1"/>
    <xf numFmtId="9" fontId="7" fillId="0" borderId="19" xfId="2" applyFont="1" applyBorder="1"/>
    <xf numFmtId="9" fontId="7" fillId="0" borderId="20" xfId="2" applyFont="1" applyBorder="1"/>
    <xf numFmtId="164" fontId="0" fillId="0" borderId="14" xfId="1" applyNumberFormat="1" applyFont="1" applyBorder="1"/>
    <xf numFmtId="0" fontId="0" fillId="0" borderId="0" xfId="0" applyBorder="1"/>
    <xf numFmtId="164" fontId="0" fillId="0" borderId="11" xfId="1" applyNumberFormat="1" applyFont="1" applyBorder="1"/>
    <xf numFmtId="164" fontId="0" fillId="0" borderId="12" xfId="1" applyNumberFormat="1" applyFont="1" applyBorder="1"/>
    <xf numFmtId="164" fontId="0" fillId="0" borderId="16" xfId="1" applyNumberFormat="1" applyFont="1" applyBorder="1"/>
    <xf numFmtId="164" fontId="0" fillId="0" borderId="17" xfId="1" applyNumberFormat="1" applyFont="1" applyBorder="1"/>
    <xf numFmtId="0" fontId="0" fillId="0" borderId="24" xfId="0" applyBorder="1"/>
    <xf numFmtId="0" fontId="0" fillId="0" borderId="25" xfId="0" applyBorder="1"/>
    <xf numFmtId="0" fontId="7" fillId="0" borderId="0" xfId="0" applyFont="1"/>
    <xf numFmtId="0" fontId="8" fillId="2" borderId="0" xfId="0" applyFont="1" applyFill="1"/>
    <xf numFmtId="0" fontId="5" fillId="2" borderId="10" xfId="0" applyFont="1" applyFill="1" applyBorder="1"/>
    <xf numFmtId="0" fontId="5" fillId="2" borderId="11" xfId="0" applyFont="1" applyFill="1" applyBorder="1"/>
    <xf numFmtId="0" fontId="5" fillId="2" borderId="12" xfId="0" applyFont="1" applyFill="1" applyBorder="1"/>
    <xf numFmtId="0" fontId="8" fillId="2" borderId="21" xfId="0" applyFont="1" applyFill="1" applyBorder="1"/>
    <xf numFmtId="0" fontId="8" fillId="2" borderId="22" xfId="0" applyFont="1" applyFill="1" applyBorder="1"/>
    <xf numFmtId="0" fontId="8" fillId="2" borderId="23" xfId="0" applyFont="1" applyFill="1" applyBorder="1"/>
    <xf numFmtId="0" fontId="5" fillId="2" borderId="9" xfId="0" applyFont="1" applyFill="1" applyBorder="1"/>
    <xf numFmtId="0" fontId="5" fillId="3" borderId="9" xfId="0" applyFont="1" applyFill="1" applyBorder="1"/>
    <xf numFmtId="1" fontId="8" fillId="2" borderId="0" xfId="0" applyNumberFormat="1" applyFont="1" applyFill="1"/>
    <xf numFmtId="1" fontId="0" fillId="0" borderId="0" xfId="0" applyNumberFormat="1"/>
  </cellXfs>
  <cellStyles count="3">
    <cellStyle name="Currency" xfId="1" builtinId="4"/>
    <cellStyle name="Normal" xfId="0" builtinId="0"/>
    <cellStyle name="Percent" xfId="2" builtinId="5"/>
  </cellStyles>
  <dxfs count="18">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0000"/>
        </patternFill>
      </fill>
    </dxf>
    <dxf>
      <font>
        <b/>
        <i val="0"/>
        <strike val="0"/>
        <condense val="0"/>
        <extend val="0"/>
        <outline val="0"/>
        <shadow val="0"/>
        <u val="none"/>
        <vertAlign val="baseline"/>
        <sz val="12"/>
        <color theme="0"/>
        <name val="Aptos Narrow"/>
        <scheme val="minor"/>
      </font>
      <fill>
        <patternFill patternType="solid">
          <fgColor indexed="64"/>
          <bgColor theme="3" tint="9.9978637043366805E-2"/>
        </patternFill>
      </fill>
    </dxf>
    <dxf>
      <numFmt numFmtId="164" formatCode="&quot;$&quot;#,##0"/>
    </dxf>
    <dxf>
      <numFmt numFmtId="164" formatCode="&quot;$&quot;#,##0"/>
    </dxf>
    <dxf>
      <numFmt numFmtId="164" formatCode="&quot;$&quot;#,##0"/>
    </dxf>
    <dxf>
      <numFmt numFmtId="1" formatCode="0"/>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E89427-52D6-DA45-9D20-06AAC6C5FC12}" name="Table1" displayName="Table1" ref="A1:E17" totalsRowShown="0" headerRowDxfId="7">
  <autoFilter ref="A1:E17" xr:uid="{E4E89427-52D6-DA45-9D20-06AAC6C5FC12}"/>
  <tableColumns count="5">
    <tableColumn id="1" xr3:uid="{38DC2582-71CA-8E49-9996-BB72FF45B2BF}" name="Product"/>
    <tableColumn id="2" xr3:uid="{2BFCBADD-6705-3642-AA03-AFD424AF3A28}" name="Units Sold" dataDxfId="11"/>
    <tableColumn id="3" xr3:uid="{C082BC38-A548-334F-9901-8D84907E5A77}" name="Unit Price" dataDxfId="10"/>
    <tableColumn id="4" xr3:uid="{3D051E5D-D96A-5B48-88AB-8E75EFAA47B7}" name="Revenue" dataDxfId="9"/>
    <tableColumn id="5" xr3:uid="{4F173278-376C-6249-AB72-018D20E42916}" name="Profit"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1DAA1-726D-1644-AE44-FDECB847E098}">
  <dimension ref="A1:K23"/>
  <sheetViews>
    <sheetView tabSelected="1" zoomScale="84" zoomScaleNormal="84" workbookViewId="0">
      <selection activeCell="G32" sqref="G32"/>
    </sheetView>
  </sheetViews>
  <sheetFormatPr baseColWidth="10" defaultColWidth="11" defaultRowHeight="16" x14ac:dyDescent="0.2"/>
  <cols>
    <col min="1" max="1" width="13.1640625" bestFit="1" customWidth="1"/>
    <col min="2" max="2" width="14.1640625" bestFit="1" customWidth="1"/>
    <col min="3" max="3" width="12.1640625" bestFit="1" customWidth="1"/>
    <col min="4" max="4" width="15" bestFit="1" customWidth="1"/>
    <col min="5" max="5" width="7.1640625" bestFit="1" customWidth="1"/>
    <col min="6" max="6" width="12.5" bestFit="1" customWidth="1"/>
    <col min="7" max="7" width="14.5" bestFit="1" customWidth="1"/>
    <col min="8" max="8" width="15" bestFit="1" customWidth="1"/>
    <col min="9" max="9" width="16.6640625" bestFit="1" customWidth="1"/>
    <col min="10" max="10" width="14.1640625" bestFit="1" customWidth="1"/>
  </cols>
  <sheetData>
    <row r="1" spans="1:11" x14ac:dyDescent="0.2">
      <c r="A1" s="38" t="s">
        <v>0</v>
      </c>
      <c r="B1" s="39" t="s">
        <v>1</v>
      </c>
      <c r="C1" s="39" t="s">
        <v>2</v>
      </c>
      <c r="D1" s="39" t="s">
        <v>3</v>
      </c>
      <c r="E1" s="39" t="s">
        <v>4</v>
      </c>
      <c r="F1" s="39" t="s">
        <v>5</v>
      </c>
      <c r="G1" s="39" t="s">
        <v>94</v>
      </c>
      <c r="H1" s="39" t="s">
        <v>6</v>
      </c>
      <c r="I1" s="39" t="s">
        <v>7</v>
      </c>
      <c r="J1" s="39" t="s">
        <v>8</v>
      </c>
      <c r="K1" s="40" t="s">
        <v>95</v>
      </c>
    </row>
    <row r="2" spans="1:11" ht="23" x14ac:dyDescent="0.25">
      <c r="A2" s="16" t="s">
        <v>9</v>
      </c>
      <c r="B2" s="13" t="s">
        <v>10</v>
      </c>
      <c r="C2" s="13">
        <v>12500</v>
      </c>
      <c r="D2" s="13" t="s">
        <v>11</v>
      </c>
      <c r="E2" s="13" t="s">
        <v>12</v>
      </c>
      <c r="F2" s="13" t="s">
        <v>13</v>
      </c>
      <c r="G2" s="22">
        <f xml:space="preserve"> IF(A2="Premium",0.15,0.05)</f>
        <v>0.15</v>
      </c>
      <c r="H2" s="14">
        <f>C2*G2</f>
        <v>1875</v>
      </c>
      <c r="I2" s="14">
        <f>C2-H2</f>
        <v>10625</v>
      </c>
      <c r="J2" s="14">
        <f>IF(I2&gt;=10000,0,IF(I2&gt;=5000,50,100))</f>
        <v>0</v>
      </c>
      <c r="K2" s="17">
        <f>I2+J2</f>
        <v>10625</v>
      </c>
    </row>
    <row r="3" spans="1:11" ht="23" x14ac:dyDescent="0.25">
      <c r="A3" s="16" t="s">
        <v>14</v>
      </c>
      <c r="B3" s="13" t="s">
        <v>15</v>
      </c>
      <c r="C3" s="13">
        <v>4200</v>
      </c>
      <c r="D3" s="13" t="s">
        <v>16</v>
      </c>
      <c r="E3" s="13" t="s">
        <v>12</v>
      </c>
      <c r="F3" s="13" t="s">
        <v>17</v>
      </c>
      <c r="G3" s="22">
        <f t="shared" ref="G3:G23" si="0" xml:space="preserve"> IF(A3="Premium",0.15,0.05)</f>
        <v>0.05</v>
      </c>
      <c r="H3" s="14">
        <f t="shared" ref="H3:H23" si="1">C3*G3</f>
        <v>210</v>
      </c>
      <c r="I3" s="14">
        <f t="shared" ref="I3:I23" si="2">C3-H3</f>
        <v>3990</v>
      </c>
      <c r="J3" s="14">
        <f t="shared" ref="J3:J23" si="3">IF(I3&gt;=10000,0,IF(I3&gt;=5000,50,100))</f>
        <v>100</v>
      </c>
      <c r="K3" s="17">
        <f t="shared" ref="K3:K23" si="4">I3+J3</f>
        <v>4090</v>
      </c>
    </row>
    <row r="4" spans="1:11" ht="23" x14ac:dyDescent="0.25">
      <c r="A4" s="16" t="s">
        <v>9</v>
      </c>
      <c r="B4" s="13" t="s">
        <v>18</v>
      </c>
      <c r="C4" s="13">
        <v>8900</v>
      </c>
      <c r="D4" s="13" t="s">
        <v>19</v>
      </c>
      <c r="E4" s="13" t="s">
        <v>12</v>
      </c>
      <c r="F4" s="13" t="s">
        <v>20</v>
      </c>
      <c r="G4" s="22">
        <f t="shared" si="0"/>
        <v>0.15</v>
      </c>
      <c r="H4" s="14">
        <f t="shared" si="1"/>
        <v>1335</v>
      </c>
      <c r="I4" s="14">
        <f t="shared" si="2"/>
        <v>7565</v>
      </c>
      <c r="J4" s="14">
        <f t="shared" si="3"/>
        <v>50</v>
      </c>
      <c r="K4" s="17">
        <f t="shared" si="4"/>
        <v>7615</v>
      </c>
    </row>
    <row r="5" spans="1:11" ht="23" x14ac:dyDescent="0.25">
      <c r="A5" s="16" t="s">
        <v>14</v>
      </c>
      <c r="B5" s="13" t="s">
        <v>21</v>
      </c>
      <c r="C5" s="13">
        <v>3100</v>
      </c>
      <c r="D5" s="13" t="s">
        <v>11</v>
      </c>
      <c r="E5" s="13" t="s">
        <v>22</v>
      </c>
      <c r="F5" s="13" t="s">
        <v>23</v>
      </c>
      <c r="G5" s="22">
        <f t="shared" si="0"/>
        <v>0.05</v>
      </c>
      <c r="H5" s="14">
        <f t="shared" si="1"/>
        <v>155</v>
      </c>
      <c r="I5" s="14">
        <f t="shared" si="2"/>
        <v>2945</v>
      </c>
      <c r="J5" s="14">
        <f t="shared" si="3"/>
        <v>100</v>
      </c>
      <c r="K5" s="17">
        <f t="shared" si="4"/>
        <v>3045</v>
      </c>
    </row>
    <row r="6" spans="1:11" ht="23" x14ac:dyDescent="0.25">
      <c r="A6" s="16" t="s">
        <v>9</v>
      </c>
      <c r="B6" s="13" t="s">
        <v>24</v>
      </c>
      <c r="C6" s="13">
        <v>15200</v>
      </c>
      <c r="D6" s="13" t="s">
        <v>16</v>
      </c>
      <c r="E6" s="13" t="s">
        <v>22</v>
      </c>
      <c r="F6" s="13" t="s">
        <v>13</v>
      </c>
      <c r="G6" s="22">
        <f t="shared" si="0"/>
        <v>0.15</v>
      </c>
      <c r="H6" s="14">
        <f t="shared" si="1"/>
        <v>2280</v>
      </c>
      <c r="I6" s="14">
        <f t="shared" si="2"/>
        <v>12920</v>
      </c>
      <c r="J6" s="14">
        <f t="shared" si="3"/>
        <v>0</v>
      </c>
      <c r="K6" s="17">
        <f t="shared" si="4"/>
        <v>12920</v>
      </c>
    </row>
    <row r="7" spans="1:11" ht="23" x14ac:dyDescent="0.25">
      <c r="A7" s="16" t="s">
        <v>14</v>
      </c>
      <c r="B7" s="13" t="s">
        <v>25</v>
      </c>
      <c r="C7" s="13">
        <v>2800</v>
      </c>
      <c r="D7" s="13" t="s">
        <v>19</v>
      </c>
      <c r="E7" s="13" t="s">
        <v>22</v>
      </c>
      <c r="F7" s="13" t="s">
        <v>17</v>
      </c>
      <c r="G7" s="22">
        <f t="shared" si="0"/>
        <v>0.05</v>
      </c>
      <c r="H7" s="14">
        <f t="shared" si="1"/>
        <v>140</v>
      </c>
      <c r="I7" s="14">
        <f t="shared" si="2"/>
        <v>2660</v>
      </c>
      <c r="J7" s="14">
        <f t="shared" si="3"/>
        <v>100</v>
      </c>
      <c r="K7" s="17">
        <f t="shared" si="4"/>
        <v>2760</v>
      </c>
    </row>
    <row r="8" spans="1:11" ht="23" x14ac:dyDescent="0.25">
      <c r="A8" s="16" t="s">
        <v>9</v>
      </c>
      <c r="B8" s="13" t="s">
        <v>26</v>
      </c>
      <c r="C8" s="13">
        <v>11400</v>
      </c>
      <c r="D8" s="13" t="s">
        <v>11</v>
      </c>
      <c r="E8" s="13" t="s">
        <v>27</v>
      </c>
      <c r="F8" s="13" t="s">
        <v>20</v>
      </c>
      <c r="G8" s="22">
        <f t="shared" si="0"/>
        <v>0.15</v>
      </c>
      <c r="H8" s="14">
        <f t="shared" si="1"/>
        <v>1710</v>
      </c>
      <c r="I8" s="14">
        <f t="shared" si="2"/>
        <v>9690</v>
      </c>
      <c r="J8" s="14">
        <f t="shared" si="3"/>
        <v>50</v>
      </c>
      <c r="K8" s="17">
        <f t="shared" si="4"/>
        <v>9740</v>
      </c>
    </row>
    <row r="9" spans="1:11" ht="23" x14ac:dyDescent="0.25">
      <c r="A9" s="16" t="s">
        <v>14</v>
      </c>
      <c r="B9" s="13" t="s">
        <v>28</v>
      </c>
      <c r="C9" s="13">
        <v>4900</v>
      </c>
      <c r="D9" s="13" t="s">
        <v>16</v>
      </c>
      <c r="E9" s="13" t="s">
        <v>27</v>
      </c>
      <c r="F9" s="13" t="s">
        <v>23</v>
      </c>
      <c r="G9" s="22">
        <f t="shared" si="0"/>
        <v>0.05</v>
      </c>
      <c r="H9" s="14">
        <f t="shared" si="1"/>
        <v>245</v>
      </c>
      <c r="I9" s="14">
        <f t="shared" si="2"/>
        <v>4655</v>
      </c>
      <c r="J9" s="14">
        <f t="shared" si="3"/>
        <v>100</v>
      </c>
      <c r="K9" s="17">
        <f t="shared" si="4"/>
        <v>4755</v>
      </c>
    </row>
    <row r="10" spans="1:11" ht="23" x14ac:dyDescent="0.25">
      <c r="A10" s="16" t="s">
        <v>9</v>
      </c>
      <c r="B10" s="13" t="s">
        <v>29</v>
      </c>
      <c r="C10" s="13">
        <v>9800</v>
      </c>
      <c r="D10" s="13" t="s">
        <v>19</v>
      </c>
      <c r="E10" s="13" t="s">
        <v>27</v>
      </c>
      <c r="F10" s="13" t="s">
        <v>13</v>
      </c>
      <c r="G10" s="22">
        <f t="shared" si="0"/>
        <v>0.15</v>
      </c>
      <c r="H10" s="14">
        <f t="shared" si="1"/>
        <v>1470</v>
      </c>
      <c r="I10" s="14">
        <f t="shared" si="2"/>
        <v>8330</v>
      </c>
      <c r="J10" s="14">
        <f t="shared" si="3"/>
        <v>50</v>
      </c>
      <c r="K10" s="17">
        <f t="shared" si="4"/>
        <v>8380</v>
      </c>
    </row>
    <row r="11" spans="1:11" ht="23" x14ac:dyDescent="0.25">
      <c r="A11" s="16" t="s">
        <v>14</v>
      </c>
      <c r="B11" s="13" t="s">
        <v>30</v>
      </c>
      <c r="C11" s="13">
        <v>3600</v>
      </c>
      <c r="D11" s="13" t="s">
        <v>11</v>
      </c>
      <c r="E11" s="13" t="s">
        <v>31</v>
      </c>
      <c r="F11" s="13" t="s">
        <v>17</v>
      </c>
      <c r="G11" s="22">
        <f t="shared" si="0"/>
        <v>0.05</v>
      </c>
      <c r="H11" s="14">
        <f t="shared" si="1"/>
        <v>180</v>
      </c>
      <c r="I11" s="14">
        <f t="shared" si="2"/>
        <v>3420</v>
      </c>
      <c r="J11" s="14">
        <f t="shared" si="3"/>
        <v>100</v>
      </c>
      <c r="K11" s="17">
        <f t="shared" si="4"/>
        <v>3520</v>
      </c>
    </row>
    <row r="12" spans="1:11" ht="23" x14ac:dyDescent="0.25">
      <c r="A12" s="16" t="s">
        <v>9</v>
      </c>
      <c r="B12" s="13" t="s">
        <v>32</v>
      </c>
      <c r="C12" s="13">
        <v>13700</v>
      </c>
      <c r="D12" s="13" t="s">
        <v>16</v>
      </c>
      <c r="E12" s="13" t="s">
        <v>31</v>
      </c>
      <c r="F12" s="13" t="s">
        <v>20</v>
      </c>
      <c r="G12" s="22">
        <f t="shared" si="0"/>
        <v>0.15</v>
      </c>
      <c r="H12" s="14">
        <f t="shared" si="1"/>
        <v>2055</v>
      </c>
      <c r="I12" s="14">
        <f t="shared" si="2"/>
        <v>11645</v>
      </c>
      <c r="J12" s="14">
        <f t="shared" si="3"/>
        <v>0</v>
      </c>
      <c r="K12" s="17">
        <f t="shared" si="4"/>
        <v>11645</v>
      </c>
    </row>
    <row r="13" spans="1:11" ht="23" x14ac:dyDescent="0.25">
      <c r="A13" s="16" t="s">
        <v>14</v>
      </c>
      <c r="B13" s="13" t="s">
        <v>33</v>
      </c>
      <c r="C13" s="13">
        <v>2400</v>
      </c>
      <c r="D13" s="13" t="s">
        <v>19</v>
      </c>
      <c r="E13" s="13" t="s">
        <v>31</v>
      </c>
      <c r="F13" s="13" t="s">
        <v>23</v>
      </c>
      <c r="G13" s="22">
        <f t="shared" si="0"/>
        <v>0.05</v>
      </c>
      <c r="H13" s="14">
        <f t="shared" si="1"/>
        <v>120</v>
      </c>
      <c r="I13" s="14">
        <f t="shared" si="2"/>
        <v>2280</v>
      </c>
      <c r="J13" s="14">
        <f t="shared" si="3"/>
        <v>100</v>
      </c>
      <c r="K13" s="17">
        <f t="shared" si="4"/>
        <v>2380</v>
      </c>
    </row>
    <row r="14" spans="1:11" ht="23" x14ac:dyDescent="0.25">
      <c r="A14" s="16" t="s">
        <v>9</v>
      </c>
      <c r="B14" s="13" t="s">
        <v>34</v>
      </c>
      <c r="C14" s="13">
        <v>10200</v>
      </c>
      <c r="D14" s="13" t="s">
        <v>11</v>
      </c>
      <c r="E14" s="13" t="s">
        <v>12</v>
      </c>
      <c r="F14" s="13" t="s">
        <v>13</v>
      </c>
      <c r="G14" s="22">
        <f t="shared" si="0"/>
        <v>0.15</v>
      </c>
      <c r="H14" s="14">
        <f t="shared" si="1"/>
        <v>1530</v>
      </c>
      <c r="I14" s="14">
        <f t="shared" si="2"/>
        <v>8670</v>
      </c>
      <c r="J14" s="14">
        <f t="shared" si="3"/>
        <v>50</v>
      </c>
      <c r="K14" s="17">
        <f t="shared" si="4"/>
        <v>8720</v>
      </c>
    </row>
    <row r="15" spans="1:11" ht="23" x14ac:dyDescent="0.25">
      <c r="A15" s="16" t="s">
        <v>14</v>
      </c>
      <c r="B15" s="13" t="s">
        <v>35</v>
      </c>
      <c r="C15" s="13">
        <v>4500</v>
      </c>
      <c r="D15" s="13" t="s">
        <v>16</v>
      </c>
      <c r="E15" s="13" t="s">
        <v>12</v>
      </c>
      <c r="F15" s="13" t="s">
        <v>17</v>
      </c>
      <c r="G15" s="22">
        <f t="shared" si="0"/>
        <v>0.05</v>
      </c>
      <c r="H15" s="14">
        <f t="shared" si="1"/>
        <v>225</v>
      </c>
      <c r="I15" s="14">
        <f t="shared" si="2"/>
        <v>4275</v>
      </c>
      <c r="J15" s="14">
        <f t="shared" si="3"/>
        <v>100</v>
      </c>
      <c r="K15" s="17">
        <f t="shared" si="4"/>
        <v>4375</v>
      </c>
    </row>
    <row r="16" spans="1:11" ht="23" x14ac:dyDescent="0.25">
      <c r="A16" s="16" t="s">
        <v>9</v>
      </c>
      <c r="B16" s="13" t="s">
        <v>36</v>
      </c>
      <c r="C16" s="13">
        <v>14800</v>
      </c>
      <c r="D16" s="13" t="s">
        <v>19</v>
      </c>
      <c r="E16" s="13" t="s">
        <v>22</v>
      </c>
      <c r="F16" s="13" t="s">
        <v>20</v>
      </c>
      <c r="G16" s="22">
        <f t="shared" si="0"/>
        <v>0.15</v>
      </c>
      <c r="H16" s="14">
        <f t="shared" si="1"/>
        <v>2220</v>
      </c>
      <c r="I16" s="14">
        <f t="shared" si="2"/>
        <v>12580</v>
      </c>
      <c r="J16" s="14">
        <f t="shared" si="3"/>
        <v>0</v>
      </c>
      <c r="K16" s="17">
        <f t="shared" si="4"/>
        <v>12580</v>
      </c>
    </row>
    <row r="17" spans="1:11" ht="23" x14ac:dyDescent="0.25">
      <c r="A17" s="16" t="s">
        <v>14</v>
      </c>
      <c r="B17" s="13" t="s">
        <v>37</v>
      </c>
      <c r="C17" s="13">
        <v>3300</v>
      </c>
      <c r="D17" s="13" t="s">
        <v>11</v>
      </c>
      <c r="E17" s="13" t="s">
        <v>22</v>
      </c>
      <c r="F17" s="13" t="s">
        <v>23</v>
      </c>
      <c r="G17" s="22">
        <f t="shared" si="0"/>
        <v>0.05</v>
      </c>
      <c r="H17" s="14">
        <f t="shared" si="1"/>
        <v>165</v>
      </c>
      <c r="I17" s="14">
        <f t="shared" si="2"/>
        <v>3135</v>
      </c>
      <c r="J17" s="14">
        <f t="shared" si="3"/>
        <v>100</v>
      </c>
      <c r="K17" s="17">
        <f t="shared" si="4"/>
        <v>3235</v>
      </c>
    </row>
    <row r="18" spans="1:11" ht="23" x14ac:dyDescent="0.25">
      <c r="A18" s="16" t="s">
        <v>9</v>
      </c>
      <c r="B18" s="13" t="s">
        <v>38</v>
      </c>
      <c r="C18" s="13">
        <v>11900</v>
      </c>
      <c r="D18" s="13" t="s">
        <v>16</v>
      </c>
      <c r="E18" s="13" t="s">
        <v>27</v>
      </c>
      <c r="F18" s="13" t="s">
        <v>13</v>
      </c>
      <c r="G18" s="22">
        <f t="shared" si="0"/>
        <v>0.15</v>
      </c>
      <c r="H18" s="14">
        <f t="shared" si="1"/>
        <v>1785</v>
      </c>
      <c r="I18" s="14">
        <f t="shared" si="2"/>
        <v>10115</v>
      </c>
      <c r="J18" s="14">
        <f t="shared" si="3"/>
        <v>0</v>
      </c>
      <c r="K18" s="17">
        <f t="shared" si="4"/>
        <v>10115</v>
      </c>
    </row>
    <row r="19" spans="1:11" ht="23" x14ac:dyDescent="0.25">
      <c r="A19" s="16" t="s">
        <v>14</v>
      </c>
      <c r="B19" s="13" t="s">
        <v>39</v>
      </c>
      <c r="C19" s="13">
        <v>2900</v>
      </c>
      <c r="D19" s="13" t="s">
        <v>19</v>
      </c>
      <c r="E19" s="13" t="s">
        <v>27</v>
      </c>
      <c r="F19" s="13" t="s">
        <v>17</v>
      </c>
      <c r="G19" s="22">
        <f t="shared" si="0"/>
        <v>0.05</v>
      </c>
      <c r="H19" s="14">
        <f t="shared" si="1"/>
        <v>145</v>
      </c>
      <c r="I19" s="14">
        <f t="shared" si="2"/>
        <v>2755</v>
      </c>
      <c r="J19" s="14">
        <f t="shared" si="3"/>
        <v>100</v>
      </c>
      <c r="K19" s="17">
        <f t="shared" si="4"/>
        <v>2855</v>
      </c>
    </row>
    <row r="20" spans="1:11" ht="23" x14ac:dyDescent="0.25">
      <c r="A20" s="16" t="s">
        <v>9</v>
      </c>
      <c r="B20" s="13" t="s">
        <v>40</v>
      </c>
      <c r="C20" s="13">
        <v>9100</v>
      </c>
      <c r="D20" s="13" t="s">
        <v>11</v>
      </c>
      <c r="E20" s="13" t="s">
        <v>31</v>
      </c>
      <c r="F20" s="13" t="s">
        <v>20</v>
      </c>
      <c r="G20" s="22">
        <f t="shared" si="0"/>
        <v>0.15</v>
      </c>
      <c r="H20" s="14">
        <f t="shared" si="1"/>
        <v>1365</v>
      </c>
      <c r="I20" s="14">
        <f t="shared" si="2"/>
        <v>7735</v>
      </c>
      <c r="J20" s="14">
        <f t="shared" si="3"/>
        <v>50</v>
      </c>
      <c r="K20" s="17">
        <f t="shared" si="4"/>
        <v>7785</v>
      </c>
    </row>
    <row r="21" spans="1:11" ht="23" x14ac:dyDescent="0.25">
      <c r="A21" s="16" t="s">
        <v>14</v>
      </c>
      <c r="B21" s="13" t="s">
        <v>41</v>
      </c>
      <c r="C21" s="13">
        <v>4100</v>
      </c>
      <c r="D21" s="13" t="s">
        <v>16</v>
      </c>
      <c r="E21" s="13" t="s">
        <v>31</v>
      </c>
      <c r="F21" s="13" t="s">
        <v>23</v>
      </c>
      <c r="G21" s="22">
        <f t="shared" si="0"/>
        <v>0.05</v>
      </c>
      <c r="H21" s="14">
        <f t="shared" si="1"/>
        <v>205</v>
      </c>
      <c r="I21" s="14">
        <f t="shared" si="2"/>
        <v>3895</v>
      </c>
      <c r="J21" s="14">
        <f t="shared" si="3"/>
        <v>100</v>
      </c>
      <c r="K21" s="17">
        <f t="shared" si="4"/>
        <v>3995</v>
      </c>
    </row>
    <row r="22" spans="1:11" ht="23" x14ac:dyDescent="0.25">
      <c r="A22" s="16" t="s">
        <v>9</v>
      </c>
      <c r="B22" s="13" t="s">
        <v>42</v>
      </c>
      <c r="C22" s="13">
        <v>12800</v>
      </c>
      <c r="D22" s="13" t="s">
        <v>19</v>
      </c>
      <c r="E22" s="13" t="s">
        <v>12</v>
      </c>
      <c r="F22" s="13" t="s">
        <v>13</v>
      </c>
      <c r="G22" s="22">
        <f t="shared" si="0"/>
        <v>0.15</v>
      </c>
      <c r="H22" s="14">
        <f t="shared" si="1"/>
        <v>1920</v>
      </c>
      <c r="I22" s="14">
        <f t="shared" si="2"/>
        <v>10880</v>
      </c>
      <c r="J22" s="14">
        <f t="shared" si="3"/>
        <v>0</v>
      </c>
      <c r="K22" s="17">
        <f t="shared" si="4"/>
        <v>10880</v>
      </c>
    </row>
    <row r="23" spans="1:11" ht="24" thickBot="1" x14ac:dyDescent="0.3">
      <c r="A23" s="18" t="s">
        <v>14</v>
      </c>
      <c r="B23" s="19" t="s">
        <v>43</v>
      </c>
      <c r="C23" s="19">
        <v>3800</v>
      </c>
      <c r="D23" s="19" t="s">
        <v>11</v>
      </c>
      <c r="E23" s="19" t="s">
        <v>12</v>
      </c>
      <c r="F23" s="19" t="s">
        <v>17</v>
      </c>
      <c r="G23" s="23">
        <f t="shared" si="0"/>
        <v>0.05</v>
      </c>
      <c r="H23" s="20">
        <f t="shared" si="1"/>
        <v>190</v>
      </c>
      <c r="I23" s="20">
        <f t="shared" si="2"/>
        <v>3610</v>
      </c>
      <c r="J23" s="20">
        <f t="shared" si="3"/>
        <v>100</v>
      </c>
      <c r="K23" s="21">
        <f t="shared" si="4"/>
        <v>3710</v>
      </c>
    </row>
  </sheetData>
  <conditionalFormatting sqref="G2:G23">
    <cfRule type="cellIs" dxfId="15" priority="3" operator="equal">
      <formula>15</formula>
    </cfRule>
    <cfRule type="cellIs" dxfId="16" priority="2" operator="equal">
      <formula>0.05</formula>
    </cfRule>
    <cfRule type="cellIs" dxfId="14" priority="1" operator="equal">
      <formula>0.15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3A05-CBEB-934D-B842-F5C31EA627E1}">
  <dimension ref="A1:G17"/>
  <sheetViews>
    <sheetView zoomScale="190" workbookViewId="0">
      <selection activeCell="C19" sqref="C19"/>
    </sheetView>
  </sheetViews>
  <sheetFormatPr baseColWidth="10" defaultColWidth="11" defaultRowHeight="16" x14ac:dyDescent="0.2"/>
  <cols>
    <col min="1" max="1" width="9.6640625" bestFit="1" customWidth="1"/>
    <col min="2" max="2" width="12.6640625" bestFit="1" customWidth="1"/>
    <col min="3" max="3" width="13.6640625" bestFit="1" customWidth="1"/>
    <col min="4" max="4" width="10.1640625" bestFit="1" customWidth="1"/>
    <col min="5" max="6" width="14.1640625" bestFit="1" customWidth="1"/>
    <col min="7" max="7" width="12.1640625" bestFit="1" customWidth="1"/>
  </cols>
  <sheetData>
    <row r="1" spans="1:7" x14ac:dyDescent="0.2">
      <c r="A1" s="44" t="s">
        <v>44</v>
      </c>
      <c r="B1" s="44" t="s">
        <v>11</v>
      </c>
      <c r="C1" s="44" t="s">
        <v>16</v>
      </c>
      <c r="D1" s="44" t="s">
        <v>19</v>
      </c>
      <c r="E1" s="44" t="s">
        <v>45</v>
      </c>
      <c r="F1" s="44" t="s">
        <v>46</v>
      </c>
      <c r="G1" s="44" t="s">
        <v>47</v>
      </c>
    </row>
    <row r="2" spans="1:7" x14ac:dyDescent="0.2">
      <c r="A2" s="13" t="s">
        <v>48</v>
      </c>
      <c r="B2" s="13">
        <v>38500</v>
      </c>
      <c r="C2" s="13">
        <v>24200</v>
      </c>
      <c r="D2" s="13">
        <v>19800</v>
      </c>
      <c r="E2" s="13">
        <v>12400</v>
      </c>
      <c r="F2" s="13">
        <v>8900</v>
      </c>
      <c r="G2" s="13">
        <v>103800</v>
      </c>
    </row>
    <row r="3" spans="1:7" x14ac:dyDescent="0.2">
      <c r="A3" s="13" t="s">
        <v>49</v>
      </c>
      <c r="B3" s="13">
        <v>41200</v>
      </c>
      <c r="C3" s="13">
        <v>25800</v>
      </c>
      <c r="D3" s="13">
        <v>21400</v>
      </c>
      <c r="E3" s="13">
        <v>13100</v>
      </c>
      <c r="F3" s="13">
        <v>9400</v>
      </c>
      <c r="G3" s="13">
        <v>110900</v>
      </c>
    </row>
    <row r="4" spans="1:7" x14ac:dyDescent="0.2">
      <c r="A4" s="13" t="s">
        <v>50</v>
      </c>
      <c r="B4" s="13">
        <v>39800</v>
      </c>
      <c r="C4" s="13">
        <v>23900</v>
      </c>
      <c r="D4" s="13">
        <v>20600</v>
      </c>
      <c r="E4" s="13">
        <v>12800</v>
      </c>
      <c r="F4" s="13">
        <v>9100</v>
      </c>
      <c r="G4" s="13">
        <v>106200</v>
      </c>
    </row>
    <row r="5" spans="1:7" x14ac:dyDescent="0.2">
      <c r="A5" s="13" t="s">
        <v>51</v>
      </c>
      <c r="B5" s="13">
        <v>119500</v>
      </c>
      <c r="C5" s="13">
        <v>73900</v>
      </c>
      <c r="D5" s="13">
        <v>61800</v>
      </c>
      <c r="E5" s="13">
        <v>38300</v>
      </c>
      <c r="F5" s="13">
        <v>27400</v>
      </c>
      <c r="G5" s="13">
        <v>320900</v>
      </c>
    </row>
    <row r="6" spans="1:7" x14ac:dyDescent="0.2">
      <c r="A6" s="13" t="s">
        <v>52</v>
      </c>
      <c r="B6" s="13">
        <v>43500</v>
      </c>
      <c r="C6" s="13">
        <v>27200</v>
      </c>
      <c r="D6" s="13">
        <v>22800</v>
      </c>
      <c r="E6" s="13">
        <v>14200</v>
      </c>
      <c r="F6" s="13">
        <v>10100</v>
      </c>
      <c r="G6" s="13">
        <v>117800</v>
      </c>
    </row>
    <row r="7" spans="1:7" x14ac:dyDescent="0.2">
      <c r="A7" s="13" t="s">
        <v>53</v>
      </c>
      <c r="B7" s="13">
        <v>45800</v>
      </c>
      <c r="C7" s="13">
        <v>28900</v>
      </c>
      <c r="D7" s="13">
        <v>24100</v>
      </c>
      <c r="E7" s="13">
        <v>15000</v>
      </c>
      <c r="F7" s="13">
        <v>10700</v>
      </c>
      <c r="G7" s="13">
        <v>124500</v>
      </c>
    </row>
    <row r="8" spans="1:7" x14ac:dyDescent="0.2">
      <c r="A8" s="13" t="s">
        <v>54</v>
      </c>
      <c r="B8" s="13">
        <v>42600</v>
      </c>
      <c r="C8" s="13">
        <v>26800</v>
      </c>
      <c r="D8" s="13">
        <v>23200</v>
      </c>
      <c r="E8" s="13">
        <v>14500</v>
      </c>
      <c r="F8" s="13">
        <v>10300</v>
      </c>
      <c r="G8" s="13">
        <v>117400</v>
      </c>
    </row>
    <row r="9" spans="1:7" x14ac:dyDescent="0.2">
      <c r="A9" s="13" t="s">
        <v>55</v>
      </c>
      <c r="B9" s="13">
        <v>131900</v>
      </c>
      <c r="C9" s="13">
        <v>82900</v>
      </c>
      <c r="D9" s="13">
        <v>70100</v>
      </c>
      <c r="E9" s="13">
        <v>43700</v>
      </c>
      <c r="F9" s="13">
        <v>31100</v>
      </c>
      <c r="G9" s="13">
        <v>359700</v>
      </c>
    </row>
    <row r="10" spans="1:7" x14ac:dyDescent="0.2">
      <c r="A10" s="13" t="s">
        <v>56</v>
      </c>
      <c r="B10" s="13">
        <v>47200</v>
      </c>
      <c r="C10" s="13">
        <v>30100</v>
      </c>
      <c r="D10" s="13">
        <v>25400</v>
      </c>
      <c r="E10" s="13">
        <v>15800</v>
      </c>
      <c r="F10" s="13">
        <v>11200</v>
      </c>
      <c r="G10" s="13">
        <v>129700</v>
      </c>
    </row>
    <row r="11" spans="1:7" x14ac:dyDescent="0.2">
      <c r="A11" s="13" t="s">
        <v>57</v>
      </c>
      <c r="B11" s="13">
        <v>49500</v>
      </c>
      <c r="C11" s="13">
        <v>31800</v>
      </c>
      <c r="D11" s="13">
        <v>26900</v>
      </c>
      <c r="E11" s="13">
        <v>16600</v>
      </c>
      <c r="F11" s="13">
        <v>11800</v>
      </c>
      <c r="G11" s="13">
        <v>136600</v>
      </c>
    </row>
    <row r="12" spans="1:7" x14ac:dyDescent="0.2">
      <c r="A12" s="13" t="s">
        <v>58</v>
      </c>
      <c r="B12" s="13">
        <v>46800</v>
      </c>
      <c r="C12" s="13">
        <v>29600</v>
      </c>
      <c r="D12" s="13">
        <v>25100</v>
      </c>
      <c r="E12" s="13">
        <v>15500</v>
      </c>
      <c r="F12" s="13">
        <v>11000</v>
      </c>
      <c r="G12" s="13">
        <v>128000</v>
      </c>
    </row>
    <row r="13" spans="1:7" x14ac:dyDescent="0.2">
      <c r="A13" s="13" t="s">
        <v>59</v>
      </c>
      <c r="B13" s="13">
        <v>143500</v>
      </c>
      <c r="C13" s="13">
        <v>91500</v>
      </c>
      <c r="D13" s="13">
        <v>77400</v>
      </c>
      <c r="E13" s="13">
        <v>47900</v>
      </c>
      <c r="F13" s="13">
        <v>34000</v>
      </c>
      <c r="G13" s="13">
        <v>394300</v>
      </c>
    </row>
    <row r="14" spans="1:7" x14ac:dyDescent="0.2">
      <c r="A14" s="13" t="s">
        <v>60</v>
      </c>
      <c r="B14" s="13">
        <v>51200</v>
      </c>
      <c r="C14" s="13">
        <v>33200</v>
      </c>
      <c r="D14" s="13">
        <v>28100</v>
      </c>
      <c r="E14" s="13">
        <v>17400</v>
      </c>
      <c r="F14" s="13">
        <v>12300</v>
      </c>
      <c r="G14" s="13">
        <v>142200</v>
      </c>
    </row>
    <row r="15" spans="1:7" x14ac:dyDescent="0.2">
      <c r="A15" s="13" t="s">
        <v>61</v>
      </c>
      <c r="B15" s="13">
        <v>53800</v>
      </c>
      <c r="C15" s="13">
        <v>35100</v>
      </c>
      <c r="D15" s="13">
        <v>29800</v>
      </c>
      <c r="E15" s="13">
        <v>18300</v>
      </c>
      <c r="F15" s="13">
        <v>13000</v>
      </c>
      <c r="G15" s="13">
        <v>150000</v>
      </c>
    </row>
    <row r="16" spans="1:7" x14ac:dyDescent="0.2">
      <c r="A16" s="13" t="s">
        <v>62</v>
      </c>
      <c r="B16" s="13">
        <v>50400</v>
      </c>
      <c r="C16" s="13">
        <v>32600</v>
      </c>
      <c r="D16" s="13">
        <v>27900</v>
      </c>
      <c r="E16" s="13">
        <v>17000</v>
      </c>
      <c r="F16" s="13">
        <v>12100</v>
      </c>
      <c r="G16" s="13">
        <v>140000</v>
      </c>
    </row>
    <row r="17" spans="1:7" x14ac:dyDescent="0.2">
      <c r="A17" s="13" t="s">
        <v>63</v>
      </c>
      <c r="B17" s="13">
        <v>155400</v>
      </c>
      <c r="C17" s="13">
        <v>100900</v>
      </c>
      <c r="D17" s="13">
        <v>85800</v>
      </c>
      <c r="E17" s="13">
        <v>52700</v>
      </c>
      <c r="F17" s="13">
        <v>37400</v>
      </c>
      <c r="G17" s="13">
        <v>432200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FC146-EA98-5F49-91B4-D08098C5651C}">
  <dimension ref="A1:G17"/>
  <sheetViews>
    <sheetView zoomScale="162" workbookViewId="0">
      <selection activeCell="F16" sqref="F16"/>
    </sheetView>
  </sheetViews>
  <sheetFormatPr baseColWidth="10" defaultColWidth="11" defaultRowHeight="16" x14ac:dyDescent="0.2"/>
  <sheetData>
    <row r="1" spans="1:7" x14ac:dyDescent="0.2">
      <c r="A1" s="45" t="s">
        <v>44</v>
      </c>
      <c r="B1" s="45" t="s">
        <v>64</v>
      </c>
      <c r="C1" s="45" t="s">
        <v>65</v>
      </c>
      <c r="D1" s="45" t="s">
        <v>66</v>
      </c>
      <c r="E1" s="45" t="s">
        <v>67</v>
      </c>
      <c r="F1" s="45" t="s">
        <v>68</v>
      </c>
      <c r="G1" s="45" t="s">
        <v>69</v>
      </c>
    </row>
    <row r="2" spans="1:7" x14ac:dyDescent="0.2">
      <c r="A2" s="13" t="s">
        <v>48</v>
      </c>
      <c r="B2" s="13">
        <v>42000</v>
      </c>
      <c r="C2" s="13">
        <v>8500</v>
      </c>
      <c r="D2" s="13">
        <v>6200</v>
      </c>
      <c r="E2" s="13">
        <v>4800</v>
      </c>
      <c r="F2" s="13">
        <v>3100</v>
      </c>
      <c r="G2" s="13">
        <v>64600</v>
      </c>
    </row>
    <row r="3" spans="1:7" x14ac:dyDescent="0.2">
      <c r="A3" s="13" t="s">
        <v>49</v>
      </c>
      <c r="B3" s="13">
        <v>42000</v>
      </c>
      <c r="C3" s="13">
        <v>8800</v>
      </c>
      <c r="D3" s="13">
        <v>6500</v>
      </c>
      <c r="E3" s="13">
        <v>4900</v>
      </c>
      <c r="F3" s="13">
        <v>3200</v>
      </c>
      <c r="G3" s="13">
        <v>65400</v>
      </c>
    </row>
    <row r="4" spans="1:7" x14ac:dyDescent="0.2">
      <c r="A4" s="13" t="s">
        <v>50</v>
      </c>
      <c r="B4" s="13">
        <v>42000</v>
      </c>
      <c r="C4" s="13">
        <v>9100</v>
      </c>
      <c r="D4" s="13">
        <v>6800</v>
      </c>
      <c r="E4" s="13">
        <v>5000</v>
      </c>
      <c r="F4" s="13">
        <v>3300</v>
      </c>
      <c r="G4" s="13">
        <v>66200</v>
      </c>
    </row>
    <row r="5" spans="1:7" x14ac:dyDescent="0.2">
      <c r="A5" s="13" t="s">
        <v>51</v>
      </c>
      <c r="B5" s="13">
        <v>126000</v>
      </c>
      <c r="C5" s="13">
        <v>26400</v>
      </c>
      <c r="D5" s="13">
        <v>19500</v>
      </c>
      <c r="E5" s="13">
        <v>14700</v>
      </c>
      <c r="F5" s="13">
        <v>9600</v>
      </c>
      <c r="G5" s="13">
        <v>196200</v>
      </c>
    </row>
    <row r="6" spans="1:7" x14ac:dyDescent="0.2">
      <c r="A6" s="13" t="s">
        <v>52</v>
      </c>
      <c r="B6" s="13">
        <v>44000</v>
      </c>
      <c r="C6" s="13">
        <v>9400</v>
      </c>
      <c r="D6" s="13">
        <v>7100</v>
      </c>
      <c r="E6" s="13">
        <v>5200</v>
      </c>
      <c r="F6" s="13">
        <v>3400</v>
      </c>
      <c r="G6" s="13">
        <v>69100</v>
      </c>
    </row>
    <row r="7" spans="1:7" x14ac:dyDescent="0.2">
      <c r="A7" s="13" t="s">
        <v>53</v>
      </c>
      <c r="B7" s="13">
        <v>44000</v>
      </c>
      <c r="C7" s="13">
        <v>9700</v>
      </c>
      <c r="D7" s="13">
        <v>7400</v>
      </c>
      <c r="E7" s="13">
        <v>5300</v>
      </c>
      <c r="F7" s="13">
        <v>3500</v>
      </c>
      <c r="G7" s="13">
        <v>69900</v>
      </c>
    </row>
    <row r="8" spans="1:7" x14ac:dyDescent="0.2">
      <c r="A8" s="13" t="s">
        <v>54</v>
      </c>
      <c r="B8" s="13">
        <v>44000</v>
      </c>
      <c r="C8" s="13">
        <v>10000</v>
      </c>
      <c r="D8" s="13">
        <v>7700</v>
      </c>
      <c r="E8" s="13">
        <v>5400</v>
      </c>
      <c r="F8" s="13">
        <v>3600</v>
      </c>
      <c r="G8" s="13">
        <v>70700</v>
      </c>
    </row>
    <row r="9" spans="1:7" x14ac:dyDescent="0.2">
      <c r="A9" s="13" t="s">
        <v>55</v>
      </c>
      <c r="B9" s="13">
        <v>132000</v>
      </c>
      <c r="C9" s="13">
        <v>29100</v>
      </c>
      <c r="D9" s="13">
        <v>22200</v>
      </c>
      <c r="E9" s="13">
        <v>15900</v>
      </c>
      <c r="F9" s="13">
        <v>10500</v>
      </c>
      <c r="G9" s="13">
        <v>209700</v>
      </c>
    </row>
    <row r="10" spans="1:7" x14ac:dyDescent="0.2">
      <c r="A10" s="13" t="s">
        <v>56</v>
      </c>
      <c r="B10" s="13">
        <v>46000</v>
      </c>
      <c r="C10" s="13">
        <v>10300</v>
      </c>
      <c r="D10" s="13">
        <v>8000</v>
      </c>
      <c r="E10" s="13">
        <v>5600</v>
      </c>
      <c r="F10" s="13">
        <v>3700</v>
      </c>
      <c r="G10" s="13">
        <v>73600</v>
      </c>
    </row>
    <row r="11" spans="1:7" x14ac:dyDescent="0.2">
      <c r="A11" s="13" t="s">
        <v>57</v>
      </c>
      <c r="B11" s="13">
        <v>46000</v>
      </c>
      <c r="C11" s="13">
        <v>10600</v>
      </c>
      <c r="D11" s="13">
        <v>8300</v>
      </c>
      <c r="E11" s="13">
        <v>5700</v>
      </c>
      <c r="F11" s="13">
        <v>3800</v>
      </c>
      <c r="G11" s="13">
        <v>74400</v>
      </c>
    </row>
    <row r="12" spans="1:7" x14ac:dyDescent="0.2">
      <c r="A12" s="13" t="s">
        <v>58</v>
      </c>
      <c r="B12" s="13">
        <v>46000</v>
      </c>
      <c r="C12" s="13">
        <v>10900</v>
      </c>
      <c r="D12" s="13">
        <v>8600</v>
      </c>
      <c r="E12" s="13">
        <v>5800</v>
      </c>
      <c r="F12" s="13">
        <v>3900</v>
      </c>
      <c r="G12" s="13">
        <v>75200</v>
      </c>
    </row>
    <row r="13" spans="1:7" x14ac:dyDescent="0.2">
      <c r="A13" s="13" t="s">
        <v>59</v>
      </c>
      <c r="B13" s="13">
        <v>138000</v>
      </c>
      <c r="C13" s="13">
        <v>31800</v>
      </c>
      <c r="D13" s="13">
        <v>24900</v>
      </c>
      <c r="E13" s="13">
        <v>17100</v>
      </c>
      <c r="F13" s="13">
        <v>11400</v>
      </c>
      <c r="G13" s="13">
        <v>223200</v>
      </c>
    </row>
    <row r="14" spans="1:7" x14ac:dyDescent="0.2">
      <c r="A14" s="13" t="s">
        <v>60</v>
      </c>
      <c r="B14" s="13">
        <v>48000</v>
      </c>
      <c r="C14" s="13">
        <v>11200</v>
      </c>
      <c r="D14" s="13">
        <v>8900</v>
      </c>
      <c r="E14" s="13">
        <v>6000</v>
      </c>
      <c r="F14" s="13">
        <v>4000</v>
      </c>
      <c r="G14" s="13">
        <v>78100</v>
      </c>
    </row>
    <row r="15" spans="1:7" x14ac:dyDescent="0.2">
      <c r="A15" s="13" t="s">
        <v>61</v>
      </c>
      <c r="B15" s="13">
        <v>48000</v>
      </c>
      <c r="C15" s="13">
        <v>11500</v>
      </c>
      <c r="D15" s="13">
        <v>9200</v>
      </c>
      <c r="E15" s="13">
        <v>6100</v>
      </c>
      <c r="F15" s="13">
        <v>4100</v>
      </c>
      <c r="G15" s="13">
        <v>78900</v>
      </c>
    </row>
    <row r="16" spans="1:7" x14ac:dyDescent="0.2">
      <c r="A16" s="13" t="s">
        <v>62</v>
      </c>
      <c r="B16" s="13">
        <v>48000</v>
      </c>
      <c r="C16" s="13">
        <v>11800</v>
      </c>
      <c r="D16" s="13">
        <v>9500</v>
      </c>
      <c r="E16" s="13">
        <v>6200</v>
      </c>
      <c r="F16" s="13">
        <v>4200</v>
      </c>
      <c r="G16" s="13">
        <v>79700</v>
      </c>
    </row>
    <row r="17" spans="1:7" x14ac:dyDescent="0.2">
      <c r="A17" s="13" t="s">
        <v>63</v>
      </c>
      <c r="B17" s="13">
        <v>144000</v>
      </c>
      <c r="C17" s="13">
        <v>34500</v>
      </c>
      <c r="D17" s="13">
        <v>27600</v>
      </c>
      <c r="E17" s="13">
        <v>18300</v>
      </c>
      <c r="F17" s="13">
        <v>12300</v>
      </c>
      <c r="G17" s="13">
        <v>236700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9570F-93F3-1A40-BF9E-673106EABE13}">
  <dimension ref="A1:E17"/>
  <sheetViews>
    <sheetView topLeftCell="C1" zoomScale="200" workbookViewId="0">
      <selection activeCell="G6" sqref="G6"/>
    </sheetView>
  </sheetViews>
  <sheetFormatPr baseColWidth="10" defaultColWidth="11" defaultRowHeight="16" x14ac:dyDescent="0.2"/>
  <cols>
    <col min="2" max="2" width="11" style="47"/>
  </cols>
  <sheetData>
    <row r="1" spans="1:5" s="36" customFormat="1" x14ac:dyDescent="0.2">
      <c r="A1" s="37" t="s">
        <v>70</v>
      </c>
      <c r="B1" s="46" t="s">
        <v>71</v>
      </c>
      <c r="C1" s="37" t="s">
        <v>72</v>
      </c>
      <c r="D1" s="37" t="s">
        <v>73</v>
      </c>
      <c r="E1" s="37" t="s">
        <v>74</v>
      </c>
    </row>
    <row r="2" spans="1:5" x14ac:dyDescent="0.2">
      <c r="A2" t="s">
        <v>11</v>
      </c>
      <c r="B2" s="47">
        <v>145</v>
      </c>
      <c r="C2" s="1">
        <v>299</v>
      </c>
      <c r="D2" s="1">
        <v>43355</v>
      </c>
      <c r="E2" s="1">
        <v>18200</v>
      </c>
    </row>
    <row r="3" spans="1:5" x14ac:dyDescent="0.2">
      <c r="A3" t="s">
        <v>16</v>
      </c>
      <c r="B3" s="47">
        <v>98</v>
      </c>
      <c r="C3" s="1">
        <v>199</v>
      </c>
      <c r="D3" s="1">
        <v>19502</v>
      </c>
      <c r="E3" s="1">
        <v>7800</v>
      </c>
    </row>
    <row r="4" spans="1:5" x14ac:dyDescent="0.2">
      <c r="A4" t="s">
        <v>19</v>
      </c>
      <c r="B4" s="47">
        <v>112</v>
      </c>
      <c r="C4" s="1">
        <v>349</v>
      </c>
      <c r="D4" s="1">
        <v>39088</v>
      </c>
      <c r="E4" s="1">
        <v>16500</v>
      </c>
    </row>
    <row r="5" spans="1:5" x14ac:dyDescent="0.2">
      <c r="A5" t="s">
        <v>45</v>
      </c>
      <c r="B5" s="47">
        <v>67</v>
      </c>
      <c r="C5" s="1">
        <v>249</v>
      </c>
      <c r="D5" s="1">
        <v>16683</v>
      </c>
      <c r="E5" s="1">
        <v>6200</v>
      </c>
    </row>
    <row r="6" spans="1:5" x14ac:dyDescent="0.2">
      <c r="A6" t="s">
        <v>46</v>
      </c>
      <c r="B6" s="47">
        <v>89</v>
      </c>
      <c r="C6" s="1">
        <v>179</v>
      </c>
      <c r="D6" s="1">
        <v>15931</v>
      </c>
      <c r="E6" s="1">
        <v>5800</v>
      </c>
    </row>
    <row r="7" spans="1:5" x14ac:dyDescent="0.2">
      <c r="A7" t="s">
        <v>75</v>
      </c>
      <c r="B7" s="47">
        <v>54</v>
      </c>
      <c r="C7" s="1">
        <v>499</v>
      </c>
      <c r="D7" s="1">
        <v>26946</v>
      </c>
      <c r="E7" s="1">
        <v>12100</v>
      </c>
    </row>
    <row r="8" spans="1:5" x14ac:dyDescent="0.2">
      <c r="A8" t="s">
        <v>76</v>
      </c>
      <c r="B8" s="47">
        <v>76</v>
      </c>
      <c r="C8" s="1">
        <v>299</v>
      </c>
      <c r="D8" s="1">
        <v>22724</v>
      </c>
      <c r="E8" s="1">
        <v>9400</v>
      </c>
    </row>
    <row r="9" spans="1:5" x14ac:dyDescent="0.2">
      <c r="A9" t="s">
        <v>77</v>
      </c>
      <c r="B9" s="47">
        <v>134</v>
      </c>
      <c r="C9" s="1">
        <v>149</v>
      </c>
      <c r="D9" s="1">
        <v>19966</v>
      </c>
      <c r="E9" s="1">
        <v>7200</v>
      </c>
    </row>
    <row r="10" spans="1:5" x14ac:dyDescent="0.2">
      <c r="A10" t="s">
        <v>78</v>
      </c>
      <c r="B10" s="47">
        <v>45</v>
      </c>
      <c r="C10" s="1">
        <v>399</v>
      </c>
      <c r="D10" s="1">
        <v>17955</v>
      </c>
      <c r="E10" s="1">
        <v>8100</v>
      </c>
    </row>
    <row r="11" spans="1:5" x14ac:dyDescent="0.2">
      <c r="A11" t="s">
        <v>79</v>
      </c>
      <c r="B11" s="47">
        <v>62</v>
      </c>
      <c r="C11" s="1">
        <v>249</v>
      </c>
      <c r="D11" s="1">
        <v>15438</v>
      </c>
      <c r="E11" s="1">
        <v>6300</v>
      </c>
    </row>
    <row r="12" spans="1:5" x14ac:dyDescent="0.2">
      <c r="A12" t="s">
        <v>80</v>
      </c>
      <c r="B12" s="47">
        <v>88</v>
      </c>
      <c r="C12" s="1">
        <v>199</v>
      </c>
      <c r="D12" s="1">
        <v>17512</v>
      </c>
      <c r="E12" s="1">
        <v>6800</v>
      </c>
    </row>
    <row r="13" spans="1:5" x14ac:dyDescent="0.2">
      <c r="A13" t="s">
        <v>81</v>
      </c>
      <c r="B13" s="47">
        <v>103</v>
      </c>
      <c r="C13" s="1">
        <v>149</v>
      </c>
      <c r="D13" s="1">
        <v>15347</v>
      </c>
      <c r="E13" s="1">
        <v>5400</v>
      </c>
    </row>
    <row r="14" spans="1:5" x14ac:dyDescent="0.2">
      <c r="A14" t="s">
        <v>82</v>
      </c>
      <c r="B14" s="47">
        <v>71</v>
      </c>
      <c r="C14" s="1">
        <v>449</v>
      </c>
      <c r="D14" s="1">
        <v>31879</v>
      </c>
      <c r="E14" s="1">
        <v>14200</v>
      </c>
    </row>
    <row r="15" spans="1:5" x14ac:dyDescent="0.2">
      <c r="A15" t="s">
        <v>83</v>
      </c>
      <c r="B15" s="47">
        <v>56</v>
      </c>
      <c r="C15" s="1">
        <v>199</v>
      </c>
      <c r="D15" s="1">
        <v>11144</v>
      </c>
      <c r="E15" s="1">
        <v>3900</v>
      </c>
    </row>
    <row r="16" spans="1:5" x14ac:dyDescent="0.2">
      <c r="A16" t="s">
        <v>84</v>
      </c>
      <c r="B16" s="47">
        <v>94</v>
      </c>
      <c r="C16" s="1">
        <v>129</v>
      </c>
      <c r="D16" s="1">
        <v>12126</v>
      </c>
      <c r="E16" s="1">
        <v>4100</v>
      </c>
    </row>
    <row r="17" spans="1:5" x14ac:dyDescent="0.2">
      <c r="A17" t="s">
        <v>97</v>
      </c>
      <c r="B17" s="47">
        <f>SUM(B2:B16)</f>
        <v>1294</v>
      </c>
      <c r="C17" s="1">
        <f>AVERAGE(C2:C16)</f>
        <v>266.33333333333331</v>
      </c>
      <c r="D17" s="1">
        <f>SUM(D2:D16)</f>
        <v>325596</v>
      </c>
      <c r="E17" s="1">
        <f>SUM(E2:E16)</f>
        <v>132000</v>
      </c>
    </row>
  </sheetData>
  <conditionalFormatting sqref="E1:E1048576">
    <cfRule type="top10" dxfId="3" priority="3" rank="5"/>
    <cfRule type="top10" dxfId="4" priority="2" rank="5"/>
    <cfRule type="top10" dxfId="2" priority="1" bottom="1" rank="5"/>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4BC62-C4C6-2546-81E1-290CD027ABCF}">
  <dimension ref="A1:F7"/>
  <sheetViews>
    <sheetView zoomScale="167" workbookViewId="0">
      <selection activeCell="D8" sqref="D8"/>
    </sheetView>
  </sheetViews>
  <sheetFormatPr baseColWidth="10" defaultColWidth="11" defaultRowHeight="16" x14ac:dyDescent="0.2"/>
  <cols>
    <col min="2" max="5" width="12.5" bestFit="1" customWidth="1"/>
    <col min="6" max="6" width="14" bestFit="1" customWidth="1"/>
  </cols>
  <sheetData>
    <row r="1" spans="1:6" ht="17" thickBot="1" x14ac:dyDescent="0.25">
      <c r="A1" s="41" t="s">
        <v>85</v>
      </c>
      <c r="B1" s="42" t="s">
        <v>51</v>
      </c>
      <c r="C1" s="42" t="s">
        <v>55</v>
      </c>
      <c r="D1" s="42" t="s">
        <v>59</v>
      </c>
      <c r="E1" s="42" t="s">
        <v>63</v>
      </c>
      <c r="F1" s="43" t="s">
        <v>86</v>
      </c>
    </row>
    <row r="2" spans="1:6" x14ac:dyDescent="0.2">
      <c r="A2" s="15" t="s">
        <v>73</v>
      </c>
      <c r="B2" s="30">
        <f>Revenue!G5</f>
        <v>320900</v>
      </c>
      <c r="C2" s="30">
        <f>Revenue!G9</f>
        <v>359700</v>
      </c>
      <c r="D2" s="30">
        <f>Revenue!G13</f>
        <v>394300</v>
      </c>
      <c r="E2" s="30">
        <f>Revenue!G17</f>
        <v>432200</v>
      </c>
      <c r="F2" s="31">
        <f>B2+C2+D2+E2</f>
        <v>1507100</v>
      </c>
    </row>
    <row r="3" spans="1:6" x14ac:dyDescent="0.2">
      <c r="A3" s="16" t="s">
        <v>87</v>
      </c>
      <c r="B3" s="24">
        <f>Expenses!G5</f>
        <v>196200</v>
      </c>
      <c r="C3" s="24">
        <f>Expenses!G9</f>
        <v>209700</v>
      </c>
      <c r="D3" s="24">
        <f>Expenses!G13</f>
        <v>223200</v>
      </c>
      <c r="E3" s="24">
        <f>Expenses!G17</f>
        <v>236700</v>
      </c>
      <c r="F3" s="28">
        <f>B3+C3+D3+E3</f>
        <v>865800</v>
      </c>
    </row>
    <row r="4" spans="1:6" ht="17" thickBot="1" x14ac:dyDescent="0.25">
      <c r="A4" s="18" t="s">
        <v>74</v>
      </c>
      <c r="B4" s="32">
        <f>B2-B3</f>
        <v>124700</v>
      </c>
      <c r="C4" s="32">
        <f t="shared" ref="C4:F4" si="0">C2-C3</f>
        <v>150000</v>
      </c>
      <c r="D4" s="32">
        <f t="shared" si="0"/>
        <v>171100</v>
      </c>
      <c r="E4" s="32">
        <f t="shared" si="0"/>
        <v>195500</v>
      </c>
      <c r="F4" s="33">
        <f>F2-F3</f>
        <v>641300</v>
      </c>
    </row>
    <row r="5" spans="1:6" x14ac:dyDescent="0.2">
      <c r="A5" s="34"/>
      <c r="B5" s="29"/>
      <c r="C5" s="29"/>
      <c r="D5" s="29"/>
      <c r="E5" s="29"/>
      <c r="F5" s="35"/>
    </row>
    <row r="6" spans="1:6" ht="17" thickBot="1" x14ac:dyDescent="0.25">
      <c r="A6" s="34"/>
      <c r="B6" s="29"/>
      <c r="C6" s="29"/>
      <c r="D6" s="29"/>
      <c r="E6" s="29"/>
      <c r="F6" s="35"/>
    </row>
    <row r="7" spans="1:6" ht="17" thickBot="1" x14ac:dyDescent="0.25">
      <c r="A7" s="25" t="s">
        <v>96</v>
      </c>
      <c r="B7" s="26">
        <f>B4/B2</f>
        <v>0.38859457775007789</v>
      </c>
      <c r="C7" s="26">
        <f t="shared" ref="C7:F7" si="1">C4/C2</f>
        <v>0.4170141784820684</v>
      </c>
      <c r="D7" s="26">
        <f t="shared" si="1"/>
        <v>0.43393355313213289</v>
      </c>
      <c r="E7" s="26">
        <f t="shared" si="1"/>
        <v>0.45233688107357706</v>
      </c>
      <c r="F7" s="27">
        <f>AnnualProfit/AnnualRevenue</f>
        <v>0.42551920907703539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EE556-DDF1-4AC0-A9B3-CCEDE2617B4C}">
  <dimension ref="B1:K33"/>
  <sheetViews>
    <sheetView showGridLines="0" workbookViewId="0"/>
  </sheetViews>
  <sheetFormatPr baseColWidth="10" defaultColWidth="8.83203125" defaultRowHeight="16" x14ac:dyDescent="0.2"/>
  <cols>
    <col min="1" max="1" width="1.83203125" customWidth="1"/>
  </cols>
  <sheetData>
    <row r="1" spans="2:11" ht="24" x14ac:dyDescent="0.3">
      <c r="B1" s="2" t="s">
        <v>88</v>
      </c>
    </row>
    <row r="3" spans="2:11" x14ac:dyDescent="0.2">
      <c r="B3" t="s">
        <v>89</v>
      </c>
    </row>
    <row r="5" spans="2:11" ht="49.5" customHeight="1" x14ac:dyDescent="0.2">
      <c r="B5" s="12" t="s">
        <v>90</v>
      </c>
      <c r="C5" s="12"/>
      <c r="D5" s="12"/>
      <c r="E5" s="12"/>
      <c r="F5" s="12"/>
      <c r="G5" s="12"/>
      <c r="H5" s="12"/>
      <c r="I5" s="12"/>
      <c r="J5" s="12"/>
      <c r="K5" s="12"/>
    </row>
    <row r="6" spans="2:11" x14ac:dyDescent="0.2">
      <c r="B6" s="3" t="s">
        <v>91</v>
      </c>
      <c r="C6" s="4"/>
      <c r="D6" s="4"/>
      <c r="E6" s="4"/>
      <c r="F6" s="4"/>
      <c r="G6" s="4"/>
      <c r="H6" s="4"/>
      <c r="I6" s="4"/>
      <c r="J6" s="4"/>
      <c r="K6" s="5"/>
    </row>
    <row r="7" spans="2:11" x14ac:dyDescent="0.2">
      <c r="B7" s="6"/>
      <c r="C7" s="7"/>
      <c r="D7" s="7"/>
      <c r="E7" s="7"/>
      <c r="F7" s="7"/>
      <c r="G7" s="7"/>
      <c r="H7" s="7"/>
      <c r="I7" s="7"/>
      <c r="J7" s="7"/>
      <c r="K7" s="8"/>
    </row>
    <row r="8" spans="2:11" x14ac:dyDescent="0.2">
      <c r="B8" s="6"/>
      <c r="C8" s="7"/>
      <c r="D8" s="7"/>
      <c r="E8" s="7"/>
      <c r="F8" s="7"/>
      <c r="G8" s="7"/>
      <c r="H8" s="7"/>
      <c r="I8" s="7"/>
      <c r="J8" s="7"/>
      <c r="K8" s="8"/>
    </row>
    <row r="9" spans="2:11" x14ac:dyDescent="0.2">
      <c r="B9" s="6"/>
      <c r="C9" s="7"/>
      <c r="D9" s="7"/>
      <c r="E9" s="7"/>
      <c r="F9" s="7"/>
      <c r="G9" s="7"/>
      <c r="H9" s="7"/>
      <c r="I9" s="7"/>
      <c r="J9" s="7"/>
      <c r="K9" s="8"/>
    </row>
    <row r="10" spans="2:11" x14ac:dyDescent="0.2">
      <c r="B10" s="6"/>
      <c r="C10" s="7"/>
      <c r="D10" s="7"/>
      <c r="E10" s="7"/>
      <c r="F10" s="7"/>
      <c r="G10" s="7"/>
      <c r="H10" s="7"/>
      <c r="I10" s="7"/>
      <c r="J10" s="7"/>
      <c r="K10" s="8"/>
    </row>
    <row r="11" spans="2:11" x14ac:dyDescent="0.2">
      <c r="B11" s="6"/>
      <c r="C11" s="7"/>
      <c r="D11" s="7"/>
      <c r="E11" s="7"/>
      <c r="F11" s="7"/>
      <c r="G11" s="7"/>
      <c r="H11" s="7"/>
      <c r="I11" s="7"/>
      <c r="J11" s="7"/>
      <c r="K11" s="8"/>
    </row>
    <row r="12" spans="2:11" x14ac:dyDescent="0.2">
      <c r="B12" s="6"/>
      <c r="C12" s="7"/>
      <c r="D12" s="7"/>
      <c r="E12" s="7"/>
      <c r="F12" s="7"/>
      <c r="G12" s="7"/>
      <c r="H12" s="7"/>
      <c r="I12" s="7"/>
      <c r="J12" s="7"/>
      <c r="K12" s="8"/>
    </row>
    <row r="13" spans="2:11" x14ac:dyDescent="0.2">
      <c r="B13" s="9"/>
      <c r="C13" s="10"/>
      <c r="D13" s="10"/>
      <c r="E13" s="10"/>
      <c r="F13" s="10"/>
      <c r="G13" s="10"/>
      <c r="H13" s="10"/>
      <c r="I13" s="10"/>
      <c r="J13" s="10"/>
      <c r="K13" s="11"/>
    </row>
    <row r="15" spans="2:11" ht="55.5" customHeight="1" x14ac:dyDescent="0.2">
      <c r="B15" s="12" t="s">
        <v>93</v>
      </c>
      <c r="C15" s="12"/>
      <c r="D15" s="12"/>
      <c r="E15" s="12"/>
      <c r="F15" s="12"/>
      <c r="G15" s="12"/>
      <c r="H15" s="12"/>
      <c r="I15" s="12"/>
      <c r="J15" s="12"/>
      <c r="K15" s="12"/>
    </row>
    <row r="16" spans="2:11" x14ac:dyDescent="0.2">
      <c r="B16" s="3" t="s">
        <v>91</v>
      </c>
      <c r="C16" s="4"/>
      <c r="D16" s="4"/>
      <c r="E16" s="4"/>
      <c r="F16" s="4"/>
      <c r="G16" s="4"/>
      <c r="H16" s="4"/>
      <c r="I16" s="4"/>
      <c r="J16" s="4"/>
      <c r="K16" s="5"/>
    </row>
    <row r="17" spans="2:11" x14ac:dyDescent="0.2">
      <c r="B17" s="6"/>
      <c r="C17" s="7"/>
      <c r="D17" s="7"/>
      <c r="E17" s="7"/>
      <c r="F17" s="7"/>
      <c r="G17" s="7"/>
      <c r="H17" s="7"/>
      <c r="I17" s="7"/>
      <c r="J17" s="7"/>
      <c r="K17" s="8"/>
    </row>
    <row r="18" spans="2:11" x14ac:dyDescent="0.2">
      <c r="B18" s="6"/>
      <c r="C18" s="7"/>
      <c r="D18" s="7"/>
      <c r="E18" s="7"/>
      <c r="F18" s="7"/>
      <c r="G18" s="7"/>
      <c r="H18" s="7"/>
      <c r="I18" s="7"/>
      <c r="J18" s="7"/>
      <c r="K18" s="8"/>
    </row>
    <row r="19" spans="2:11" x14ac:dyDescent="0.2">
      <c r="B19" s="6"/>
      <c r="C19" s="7"/>
      <c r="D19" s="7"/>
      <c r="E19" s="7"/>
      <c r="F19" s="7"/>
      <c r="G19" s="7"/>
      <c r="H19" s="7"/>
      <c r="I19" s="7"/>
      <c r="J19" s="7"/>
      <c r="K19" s="8"/>
    </row>
    <row r="20" spans="2:11" x14ac:dyDescent="0.2">
      <c r="B20" s="6"/>
      <c r="C20" s="7"/>
      <c r="D20" s="7"/>
      <c r="E20" s="7"/>
      <c r="F20" s="7"/>
      <c r="G20" s="7"/>
      <c r="H20" s="7"/>
      <c r="I20" s="7"/>
      <c r="J20" s="7"/>
      <c r="K20" s="8"/>
    </row>
    <row r="21" spans="2:11" x14ac:dyDescent="0.2">
      <c r="B21" s="6"/>
      <c r="C21" s="7"/>
      <c r="D21" s="7"/>
      <c r="E21" s="7"/>
      <c r="F21" s="7"/>
      <c r="G21" s="7"/>
      <c r="H21" s="7"/>
      <c r="I21" s="7"/>
      <c r="J21" s="7"/>
      <c r="K21" s="8"/>
    </row>
    <row r="22" spans="2:11" x14ac:dyDescent="0.2">
      <c r="B22" s="6"/>
      <c r="C22" s="7"/>
      <c r="D22" s="7"/>
      <c r="E22" s="7"/>
      <c r="F22" s="7"/>
      <c r="G22" s="7"/>
      <c r="H22" s="7"/>
      <c r="I22" s="7"/>
      <c r="J22" s="7"/>
      <c r="K22" s="8"/>
    </row>
    <row r="23" spans="2:11" x14ac:dyDescent="0.2">
      <c r="B23" s="9"/>
      <c r="C23" s="10"/>
      <c r="D23" s="10"/>
      <c r="E23" s="10"/>
      <c r="F23" s="10"/>
      <c r="G23" s="10"/>
      <c r="H23" s="10"/>
      <c r="I23" s="10"/>
      <c r="J23" s="10"/>
      <c r="K23" s="11"/>
    </row>
    <row r="25" spans="2:11" ht="48" customHeight="1" x14ac:dyDescent="0.2">
      <c r="B25" s="12" t="s">
        <v>92</v>
      </c>
      <c r="C25" s="12"/>
      <c r="D25" s="12"/>
      <c r="E25" s="12"/>
      <c r="F25" s="12"/>
      <c r="G25" s="12"/>
      <c r="H25" s="12"/>
      <c r="I25" s="12"/>
      <c r="J25" s="12"/>
      <c r="K25" s="12"/>
    </row>
    <row r="26" spans="2:11" x14ac:dyDescent="0.2">
      <c r="B26" s="3" t="s">
        <v>91</v>
      </c>
      <c r="C26" s="4"/>
      <c r="D26" s="4"/>
      <c r="E26" s="4"/>
      <c r="F26" s="4"/>
      <c r="G26" s="4"/>
      <c r="H26" s="4"/>
      <c r="I26" s="4"/>
      <c r="J26" s="4"/>
      <c r="K26" s="5"/>
    </row>
    <row r="27" spans="2:11" x14ac:dyDescent="0.2">
      <c r="B27" s="6"/>
      <c r="C27" s="7"/>
      <c r="D27" s="7"/>
      <c r="E27" s="7"/>
      <c r="F27" s="7"/>
      <c r="G27" s="7"/>
      <c r="H27" s="7"/>
      <c r="I27" s="7"/>
      <c r="J27" s="7"/>
      <c r="K27" s="8"/>
    </row>
    <row r="28" spans="2:11" x14ac:dyDescent="0.2">
      <c r="B28" s="6"/>
      <c r="C28" s="7"/>
      <c r="D28" s="7"/>
      <c r="E28" s="7"/>
      <c r="F28" s="7"/>
      <c r="G28" s="7"/>
      <c r="H28" s="7"/>
      <c r="I28" s="7"/>
      <c r="J28" s="7"/>
      <c r="K28" s="8"/>
    </row>
    <row r="29" spans="2:11" x14ac:dyDescent="0.2">
      <c r="B29" s="6"/>
      <c r="C29" s="7"/>
      <c r="D29" s="7"/>
      <c r="E29" s="7"/>
      <c r="F29" s="7"/>
      <c r="G29" s="7"/>
      <c r="H29" s="7"/>
      <c r="I29" s="7"/>
      <c r="J29" s="7"/>
      <c r="K29" s="8"/>
    </row>
    <row r="30" spans="2:11" x14ac:dyDescent="0.2">
      <c r="B30" s="6"/>
      <c r="C30" s="7"/>
      <c r="D30" s="7"/>
      <c r="E30" s="7"/>
      <c r="F30" s="7"/>
      <c r="G30" s="7"/>
      <c r="H30" s="7"/>
      <c r="I30" s="7"/>
      <c r="J30" s="7"/>
      <c r="K30" s="8"/>
    </row>
    <row r="31" spans="2:11" x14ac:dyDescent="0.2">
      <c r="B31" s="6"/>
      <c r="C31" s="7"/>
      <c r="D31" s="7"/>
      <c r="E31" s="7"/>
      <c r="F31" s="7"/>
      <c r="G31" s="7"/>
      <c r="H31" s="7"/>
      <c r="I31" s="7"/>
      <c r="J31" s="7"/>
      <c r="K31" s="8"/>
    </row>
    <row r="32" spans="2:11" x14ac:dyDescent="0.2">
      <c r="B32" s="6"/>
      <c r="C32" s="7"/>
      <c r="D32" s="7"/>
      <c r="E32" s="7"/>
      <c r="F32" s="7"/>
      <c r="G32" s="7"/>
      <c r="H32" s="7"/>
      <c r="I32" s="7"/>
      <c r="J32" s="7"/>
      <c r="K32" s="8"/>
    </row>
    <row r="33" spans="2:11" x14ac:dyDescent="0.2">
      <c r="B33" s="9"/>
      <c r="C33" s="10"/>
      <c r="D33" s="10"/>
      <c r="E33" s="10"/>
      <c r="F33" s="10"/>
      <c r="G33" s="10"/>
      <c r="H33" s="10"/>
      <c r="I33" s="10"/>
      <c r="J33" s="10"/>
      <c r="K33" s="11"/>
    </row>
  </sheetData>
  <mergeCells count="6">
    <mergeCell ref="B26:K33"/>
    <mergeCell ref="B5:K5"/>
    <mergeCell ref="B6:K13"/>
    <mergeCell ref="B15:K15"/>
    <mergeCell ref="B16:K23"/>
    <mergeCell ref="B25:K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b38a5a5-2ea0-4e22-b7dd-7270eb8dc27d">
      <Terms xmlns="http://schemas.microsoft.com/office/infopath/2007/PartnerControls"/>
    </lcf76f155ced4ddcb4097134ff3c332f>
    <Versions xmlns="5b38a5a5-2ea0-4e22-b7dd-7270eb8dc27d" xsi:nil="true"/>
    <TaxCatchAll xmlns="065e24fc-01c6-47b0-8ea9-ecf09674a2db" xsi:nil="true"/>
    <FileType xmlns="5b38a5a5-2ea0-4e22-b7dd-7270eb8dc27d" xsi:nil="true"/>
    <Status xmlns="5b38a5a5-2ea0-4e22-b7dd-7270eb8dc27d" xsi:nil="true"/>
    <Language xmlns="5b38a5a5-2ea0-4e22-b7dd-7270eb8dc27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3BB19756E0FF49B11652F6317EFC65" ma:contentTypeVersion="16" ma:contentTypeDescription="Create a new document." ma:contentTypeScope="" ma:versionID="7d9f0cf5425519bbb34fedf46363deb2">
  <xsd:schema xmlns:xsd="http://www.w3.org/2001/XMLSchema" xmlns:xs="http://www.w3.org/2001/XMLSchema" xmlns:p="http://schemas.microsoft.com/office/2006/metadata/properties" xmlns:ns2="5b38a5a5-2ea0-4e22-b7dd-7270eb8dc27d" xmlns:ns3="065e24fc-01c6-47b0-8ea9-ecf09674a2db" targetNamespace="http://schemas.microsoft.com/office/2006/metadata/properties" ma:root="true" ma:fieldsID="80987f56bd5e5fc9f512c84d72016466" ns2:_="" ns3:_="">
    <xsd:import namespace="5b38a5a5-2ea0-4e22-b7dd-7270eb8dc27d"/>
    <xsd:import namespace="065e24fc-01c6-47b0-8ea9-ecf09674a2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anguage" minOccurs="0"/>
                <xsd:element ref="ns2:FileType" minOccurs="0"/>
                <xsd:element ref="ns2:Versions" minOccurs="0"/>
                <xsd:element ref="ns2:Statu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38a5a5-2ea0-4e22-b7dd-7270eb8dc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anguage" ma:index="11" nillable="true" ma:displayName="Language" ma:format="Dropdown" ma:internalName="Language">
      <xsd:simpleType>
        <xsd:restriction base="dms:Choice">
          <xsd:enumeration value="English"/>
          <xsd:enumeration value="Portuguese "/>
          <xsd:enumeration value="Spanish"/>
          <xsd:enumeration value="French"/>
        </xsd:restriction>
      </xsd:simpleType>
    </xsd:element>
    <xsd:element name="FileType" ma:index="12" nillable="true" ma:displayName="File Type" ma:format="Dropdown" ma:internalName="FileType">
      <xsd:simpleType>
        <xsd:restriction base="dms:Choice">
          <xsd:enumeration value="Word Document"/>
          <xsd:enumeration value="Google Doc"/>
          <xsd:enumeration value="Excel Spreadsheet"/>
          <xsd:enumeration value="MP4 Video"/>
          <xsd:enumeration value="Google Sheet"/>
          <xsd:enumeration value="Link"/>
          <xsd:enumeration value="JPEG"/>
          <xsd:enumeration value="PNG"/>
          <xsd:enumeration value="PSD"/>
          <xsd:enumeration value="Choice 10"/>
        </xsd:restriction>
      </xsd:simpleType>
    </xsd:element>
    <xsd:element name="Versions" ma:index="13" nillable="true" ma:displayName="Versions" ma:format="Dropdown" ma:internalName="Versions">
      <xsd:simpleType>
        <xsd:union memberTypes="dms:Text">
          <xsd:simpleType>
            <xsd:restriction base="dms:Choice">
              <xsd:enumeration value="Version 1"/>
              <xsd:enumeration value="Version 2"/>
              <xsd:enumeration value="Version 3"/>
              <xsd:enumeration value="Version 4"/>
              <xsd:enumeration value="Version 5"/>
              <xsd:enumeration value="Version 6"/>
              <xsd:enumeration value="Version 7"/>
              <xsd:enumeration value="Version 8"/>
              <xsd:enumeration value="Version 9"/>
              <xsd:enumeration value="Version 10"/>
            </xsd:restriction>
          </xsd:simpleType>
        </xsd:union>
      </xsd:simpleType>
    </xsd:element>
    <xsd:element name="Status" ma:index="14" nillable="true" ma:displayName="Status" ma:format="Dropdown" ma:internalName="Status">
      <xsd:simpleType>
        <xsd:union memberTypes="dms:Text">
          <xsd:simpleType>
            <xsd:restriction base="dms:Choice">
              <xsd:enumeration value="Production (In Use)"/>
              <xsd:enumeration value="Development"/>
              <xsd:enumeration value="Archive"/>
            </xsd:restriction>
          </xsd:simpleType>
        </xsd:un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1ed3f3-80a3-4625-a339-da1aff4a879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5e24fc-01c6-47b0-8ea9-ecf09674a2d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fe7fb0d-d8f3-474b-becb-9029549c3668}" ma:internalName="TaxCatchAll" ma:showField="CatchAllData" ma:web="065e24fc-01c6-47b0-8ea9-ecf09674a2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FCEBE8-B514-4796-8CED-CDA02416BC69}">
  <ds:schemaRefs>
    <ds:schemaRef ds:uri="http://schemas.microsoft.com/office/2006/metadata/properties"/>
    <ds:schemaRef ds:uri="http://schemas.microsoft.com/office/infopath/2007/PartnerControls"/>
    <ds:schemaRef ds:uri="5b38a5a5-2ea0-4e22-b7dd-7270eb8dc27d"/>
    <ds:schemaRef ds:uri="065e24fc-01c6-47b0-8ea9-ecf09674a2db"/>
  </ds:schemaRefs>
</ds:datastoreItem>
</file>

<file path=customXml/itemProps2.xml><?xml version="1.0" encoding="utf-8"?>
<ds:datastoreItem xmlns:ds="http://schemas.openxmlformats.org/officeDocument/2006/customXml" ds:itemID="{8818F90B-7E48-4675-89BD-1B1151E932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38a5a5-2ea0-4e22-b7dd-7270eb8dc27d"/>
    <ds:schemaRef ds:uri="065e24fc-01c6-47b0-8ea9-ecf09674a2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5B06B7-F8A9-4647-962C-DA3A63A171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Revenue Analysis</vt:lpstr>
      <vt:lpstr>Revenue</vt:lpstr>
      <vt:lpstr>Expenses</vt:lpstr>
      <vt:lpstr>Sales Data</vt:lpstr>
      <vt:lpstr>Summary</vt:lpstr>
      <vt:lpstr>Analysis Questions</vt:lpstr>
      <vt:lpstr>AnnualExpenses</vt:lpstr>
      <vt:lpstr>AnnualProfit</vt:lpstr>
      <vt:lpstr>AnnualRevenue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Bair, Adam</dc:creator>
  <cp:keywords/>
  <dc:description/>
  <cp:lastModifiedBy>Frantz-Torry Thermidor</cp:lastModifiedBy>
  <cp:revision/>
  <dcterms:created xsi:type="dcterms:W3CDTF">2026-03-31T19:02:57Z</dcterms:created>
  <dcterms:modified xsi:type="dcterms:W3CDTF">2026-09-19T22:57:01Z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0x010100783BB19756E0FF49B11652F6317EFC65</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2026-09-19T22:54:49Z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42804ae1-d2e9-40b7-a4a3-45811234298b</vt:lpwstr>
  </property>
  <property fmtid="{D5CDD505-2E9C-101B-9397-08002B2CF9AE}" pid="9" name="MSIP_Label_defa4170-0d19-0005-0004-bc88714345d2_ActionId">
    <vt:lpwstr>901fca02-7a2f-4666-9d69-b94b1f953e89</vt:lpwstr>
  </property>
  <property fmtid="{D5CDD505-2E9C-101B-9397-08002B2CF9AE}" pid="10" name="MSIP_Label_defa4170-0d19-0005-0004-bc88714345d2_ContentBits">
    <vt:lpwstr>0</vt:lpwstr>
  </property>
  <property fmtid="{D5CDD505-2E9C-101B-9397-08002B2CF9AE}" pid="11" name="MSIP_Label_defa4170-0d19-0005-0004-bc88714345d2_Tag">
    <vt:lpwstr>50, 3, 0, 1</vt:lpwstr>
  </property>
</Properties>
</file>